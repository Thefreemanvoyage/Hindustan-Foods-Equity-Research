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9E5FC425AED9293/Документы/"/>
    </mc:Choice>
  </mc:AlternateContent>
  <xr:revisionPtr revIDLastSave="431" documentId="8_{64BED428-2F5E-402F-A04F-C24EF9462F55}" xr6:coauthVersionLast="47" xr6:coauthVersionMax="47" xr10:uidLastSave="{8E15EC29-BFC9-421B-95C1-8001C51ED9FB}"/>
  <bookViews>
    <workbookView xWindow="-108" yWindow="-108" windowWidth="23256" windowHeight="12456" firstSheet="9" activeTab="12" xr2:uid="{00000000-000D-0000-FFFF-FFFF00000000}"/>
  </bookViews>
  <sheets>
    <sheet name="ASSUMPTIONS" sheetId="9" r:id="rId1"/>
    <sheet name="INCOME STATEMENT" sheetId="8" r:id="rId2"/>
    <sheet name="BALANCE SHEET" sheetId="10" r:id="rId3"/>
    <sheet name="FA SCHEDULE" sheetId="11" r:id="rId4"/>
    <sheet name="CFS" sheetId="12" r:id="rId5"/>
    <sheet name="DEBT SCHEDULE" sheetId="13" r:id="rId6"/>
    <sheet name="WACC" sheetId="14" r:id="rId7"/>
    <sheet name="REGRESSION BETA" sheetId="15" r:id="rId8"/>
    <sheet name="BOTTOM UP BETA" sheetId="16" r:id="rId9"/>
    <sheet name="DCF VALUATION" sheetId="17" r:id="rId10"/>
    <sheet name="COMPANY COMPARABLE ANALYSIS" sheetId="18" r:id="rId11"/>
    <sheet name="(INPUT SHEET)" sheetId="20" r:id="rId12"/>
    <sheet name="FOOTBALL FIELD ANALYSIS" sheetId="19" r:id="rId13"/>
  </sheets>
  <definedNames>
    <definedName name="UPDATE">#REF!</definedName>
  </definedNames>
  <calcPr calcId="191029" iterate="1" calcCompleted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19" l="1"/>
  <c r="E6" i="19"/>
  <c r="C6" i="19"/>
  <c r="E5" i="19"/>
  <c r="C5" i="19"/>
  <c r="D5" i="19" s="1"/>
  <c r="E4" i="19"/>
  <c r="C4" i="19"/>
  <c r="E3" i="19"/>
  <c r="C3" i="19"/>
  <c r="D7" i="19"/>
  <c r="D48" i="18"/>
  <c r="D47" i="18"/>
  <c r="D45" i="18"/>
  <c r="D44" i="18"/>
  <c r="D42" i="18"/>
  <c r="D41" i="18"/>
  <c r="D39" i="18"/>
  <c r="D38" i="18"/>
  <c r="D4" i="19" l="1"/>
  <c r="D6" i="19"/>
  <c r="E9" i="19"/>
  <c r="C9" i="19"/>
  <c r="D3" i="19"/>
  <c r="E35" i="18" l="1"/>
  <c r="F35" i="18"/>
  <c r="G35" i="18"/>
  <c r="D35" i="18"/>
  <c r="F34" i="18" l="1"/>
  <c r="K25" i="18"/>
  <c r="F25" i="18"/>
  <c r="P10" i="18"/>
  <c r="T10" i="18" s="1"/>
  <c r="N10" i="18"/>
  <c r="M10" i="18"/>
  <c r="H10" i="18"/>
  <c r="F10" i="18"/>
  <c r="P9" i="18"/>
  <c r="T9" i="18" s="1"/>
  <c r="N9" i="18"/>
  <c r="M9" i="18"/>
  <c r="H9" i="18"/>
  <c r="F9" i="18"/>
  <c r="K9" i="18" s="1"/>
  <c r="P8" i="18"/>
  <c r="T8" i="18" s="1"/>
  <c r="N8" i="18"/>
  <c r="M8" i="18"/>
  <c r="H8" i="18"/>
  <c r="P6" i="18"/>
  <c r="T6" i="18" s="1"/>
  <c r="N7" i="18"/>
  <c r="M7" i="18"/>
  <c r="H7" i="18"/>
  <c r="F8" i="18"/>
  <c r="E7" i="18"/>
  <c r="F7" i="18" s="1"/>
  <c r="N6" i="18"/>
  <c r="M6" i="18"/>
  <c r="H6" i="18"/>
  <c r="E6" i="18"/>
  <c r="F6" i="18" s="1"/>
  <c r="K6" i="18" s="1"/>
  <c r="R6" i="18" s="1"/>
  <c r="L5" i="18"/>
  <c r="O5" i="18"/>
  <c r="N5" i="18"/>
  <c r="M5" i="18"/>
  <c r="I5" i="18"/>
  <c r="E5" i="18"/>
  <c r="F5" i="18" s="1"/>
  <c r="E25" i="18" s="1"/>
  <c r="H5" i="18"/>
  <c r="G5" i="18"/>
  <c r="K8" i="18" l="1"/>
  <c r="S8" i="18" s="1"/>
  <c r="E23" i="18"/>
  <c r="J23" i="18" s="1"/>
  <c r="E32" i="18" s="1"/>
  <c r="K10" i="18"/>
  <c r="F23" i="18"/>
  <c r="K23" i="18" s="1"/>
  <c r="F32" i="18" s="1"/>
  <c r="L25" i="18"/>
  <c r="G34" i="18" s="1"/>
  <c r="D25" i="18"/>
  <c r="D23" i="18"/>
  <c r="I23" i="18" s="1"/>
  <c r="D32" i="18" s="1"/>
  <c r="I25" i="18"/>
  <c r="G23" i="18"/>
  <c r="L23" i="18" s="1"/>
  <c r="G32" i="18" s="1"/>
  <c r="G25" i="18"/>
  <c r="K7" i="18"/>
  <c r="R7" i="18" s="1"/>
  <c r="R17" i="18" s="1"/>
  <c r="T17" i="18"/>
  <c r="Q8" i="18"/>
  <c r="Q9" i="18"/>
  <c r="R9" i="18"/>
  <c r="S9" i="18"/>
  <c r="S10" i="18"/>
  <c r="R10" i="18"/>
  <c r="Q10" i="18"/>
  <c r="R8" i="18"/>
  <c r="P5" i="18"/>
  <c r="T5" i="18" s="1"/>
  <c r="K5" i="18"/>
  <c r="R5" i="18" s="1"/>
  <c r="P7" i="18"/>
  <c r="T7" i="18" s="1"/>
  <c r="T14" i="18" s="1"/>
  <c r="Q5" i="18"/>
  <c r="S6" i="18"/>
  <c r="Q6" i="18"/>
  <c r="J25" i="18" l="1"/>
  <c r="E34" i="18" s="1"/>
  <c r="D34" i="18"/>
  <c r="S7" i="18"/>
  <c r="S5" i="18"/>
  <c r="Q7" i="18"/>
  <c r="Q14" i="18" s="1"/>
  <c r="D22" i="18" s="1"/>
  <c r="D24" i="18" s="1"/>
  <c r="D26" i="18" s="1"/>
  <c r="S16" i="18"/>
  <c r="S12" i="18"/>
  <c r="S17" i="18"/>
  <c r="S14" i="18"/>
  <c r="F22" i="18" s="1"/>
  <c r="F24" i="18" s="1"/>
  <c r="F26" i="18" s="1"/>
  <c r="S13" i="18"/>
  <c r="K22" i="18" s="1"/>
  <c r="S15" i="18"/>
  <c r="R15" i="18"/>
  <c r="R13" i="18"/>
  <c r="J22" i="18" s="1"/>
  <c r="R12" i="18"/>
  <c r="R14" i="18"/>
  <c r="E22" i="18" s="1"/>
  <c r="E24" i="18" s="1"/>
  <c r="E26" i="18" s="1"/>
  <c r="T16" i="18"/>
  <c r="T12" i="18"/>
  <c r="T15" i="18"/>
  <c r="T13" i="18"/>
  <c r="L24" i="18" s="1"/>
  <c r="G33" i="18" s="1"/>
  <c r="R16" i="18"/>
  <c r="Q16" i="18"/>
  <c r="Q13" i="18"/>
  <c r="I22" i="18" s="1"/>
  <c r="Q15" i="18"/>
  <c r="Q17" i="18"/>
  <c r="K24" i="18" l="1"/>
  <c r="F31" i="18"/>
  <c r="Q12" i="18"/>
  <c r="I24" i="18"/>
  <c r="D31" i="18"/>
  <c r="J24" i="18"/>
  <c r="J26" i="18" s="1"/>
  <c r="E31" i="18"/>
  <c r="E33" i="18"/>
  <c r="I26" i="18"/>
  <c r="D33" i="18"/>
  <c r="K26" i="18"/>
  <c r="F33" i="18"/>
  <c r="L26" i="18"/>
  <c r="L22" i="18"/>
  <c r="G31" i="18" s="1"/>
  <c r="D21" i="17" l="1"/>
  <c r="E21" i="17"/>
  <c r="F21" i="17"/>
  <c r="G21" i="17"/>
  <c r="C21" i="17"/>
  <c r="C44" i="17" l="1"/>
  <c r="F44" i="17" s="1"/>
  <c r="D20" i="17"/>
  <c r="E20" i="17"/>
  <c r="F20" i="17"/>
  <c r="G20" i="17"/>
  <c r="C20" i="17"/>
  <c r="D19" i="17"/>
  <c r="E19" i="17"/>
  <c r="F19" i="17"/>
  <c r="G19" i="17"/>
  <c r="C19" i="17"/>
  <c r="C2" i="17" l="1"/>
  <c r="C3" i="17"/>
  <c r="F4" i="16"/>
  <c r="F5" i="16"/>
  <c r="F6" i="16"/>
  <c r="G6" i="16" s="1"/>
  <c r="F7" i="16"/>
  <c r="G7" i="16" s="1"/>
  <c r="F3" i="16"/>
  <c r="D12" i="16"/>
  <c r="D13" i="16"/>
  <c r="E13" i="16" s="1"/>
  <c r="G4" i="16"/>
  <c r="G5" i="16"/>
  <c r="G3" i="16"/>
  <c r="C14" i="17" l="1"/>
  <c r="D14" i="17" s="1"/>
  <c r="E14" i="17" s="1"/>
  <c r="F14" i="17" s="1"/>
  <c r="G14" i="17" s="1"/>
  <c r="E12" i="16"/>
  <c r="E14" i="16"/>
  <c r="H7" i="16"/>
  <c r="E15" i="16" l="1"/>
  <c r="C32" i="14" s="1"/>
  <c r="C33" i="14" s="1"/>
  <c r="F4" i="15"/>
  <c r="F3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AC74" i="15"/>
  <c r="AC75" i="15"/>
  <c r="AC76" i="15"/>
  <c r="AC77" i="15"/>
  <c r="AC78" i="15"/>
  <c r="AC79" i="15"/>
  <c r="AC80" i="15"/>
  <c r="AC81" i="15"/>
  <c r="AC82" i="15"/>
  <c r="AC83" i="15"/>
  <c r="AC84" i="15"/>
  <c r="AC85" i="15"/>
  <c r="AC86" i="15"/>
  <c r="AC87" i="15"/>
  <c r="AC88" i="15"/>
  <c r="AC89" i="15"/>
  <c r="AC90" i="15"/>
  <c r="AC91" i="15"/>
  <c r="AC92" i="15"/>
  <c r="AC93" i="15"/>
  <c r="AC94" i="15"/>
  <c r="AC95" i="15"/>
  <c r="AC96" i="15"/>
  <c r="AC97" i="15"/>
  <c r="AC98" i="15"/>
  <c r="AC99" i="15"/>
  <c r="AC100" i="15"/>
  <c r="AC101" i="15"/>
  <c r="AC102" i="15"/>
  <c r="AC103" i="15"/>
  <c r="AC104" i="15"/>
  <c r="AC105" i="15"/>
  <c r="AC106" i="15"/>
  <c r="AC107" i="15"/>
  <c r="AC108" i="15"/>
  <c r="AC109" i="15"/>
  <c r="AC110" i="15"/>
  <c r="AC111" i="15"/>
  <c r="AC112" i="15"/>
  <c r="AC113" i="15"/>
  <c r="AC114" i="15"/>
  <c r="AC115" i="15"/>
  <c r="AC116" i="15"/>
  <c r="AC117" i="15"/>
  <c r="AC118" i="15"/>
  <c r="AC119" i="15"/>
  <c r="AC120" i="15"/>
  <c r="AC121" i="15"/>
  <c r="AC122" i="15"/>
  <c r="AC123" i="15"/>
  <c r="AC124" i="15"/>
  <c r="AC125" i="15"/>
  <c r="AC126" i="15"/>
  <c r="AC127" i="15"/>
  <c r="AC128" i="15"/>
  <c r="AC129" i="15"/>
  <c r="AC130" i="15"/>
  <c r="AC131" i="15"/>
  <c r="AC132" i="15"/>
  <c r="AC133" i="15"/>
  <c r="AC134" i="15"/>
  <c r="AC135" i="15"/>
  <c r="AC136" i="15"/>
  <c r="AC137" i="15"/>
  <c r="AC138" i="15"/>
  <c r="AC139" i="15"/>
  <c r="AC140" i="15"/>
  <c r="AC141" i="15"/>
  <c r="AC142" i="15"/>
  <c r="AC143" i="15"/>
  <c r="AC144" i="15"/>
  <c r="AC145" i="15"/>
  <c r="AC146" i="15"/>
  <c r="AC147" i="15"/>
  <c r="AC148" i="15"/>
  <c r="AC149" i="15"/>
  <c r="AC150" i="15"/>
  <c r="AC151" i="15"/>
  <c r="AC152" i="15"/>
  <c r="AC153" i="15"/>
  <c r="AC154" i="15"/>
  <c r="AC155" i="15"/>
  <c r="AC156" i="15"/>
  <c r="AC157" i="15"/>
  <c r="AC158" i="15"/>
  <c r="AC159" i="15"/>
  <c r="AC160" i="15"/>
  <c r="AC161" i="15"/>
  <c r="AC162" i="15"/>
  <c r="AC163" i="15"/>
  <c r="AC164" i="15"/>
  <c r="AC165" i="15"/>
  <c r="AC166" i="15"/>
  <c r="AC167" i="15"/>
  <c r="AC168" i="15"/>
  <c r="AC169" i="15"/>
  <c r="AC170" i="15"/>
  <c r="AC171" i="15"/>
  <c r="AC172" i="15"/>
  <c r="AC173" i="15"/>
  <c r="AC174" i="15"/>
  <c r="AC175" i="15"/>
  <c r="AC176" i="15"/>
  <c r="AC177" i="15"/>
  <c r="AC178" i="15"/>
  <c r="AC179" i="15"/>
  <c r="AC180" i="15"/>
  <c r="AC181" i="15"/>
  <c r="AC182" i="15"/>
  <c r="AC183" i="15"/>
  <c r="AC184" i="15"/>
  <c r="AC185" i="15"/>
  <c r="AC186" i="15"/>
  <c r="AC187" i="15"/>
  <c r="AC188" i="15"/>
  <c r="AC189" i="15"/>
  <c r="AC190" i="15"/>
  <c r="AC191" i="15"/>
  <c r="AC192" i="15"/>
  <c r="AC193" i="15"/>
  <c r="AC194" i="15"/>
  <c r="AC195" i="15"/>
  <c r="AC196" i="15"/>
  <c r="AC197" i="15"/>
  <c r="AC198" i="15"/>
  <c r="AC199" i="15"/>
  <c r="AC200" i="15"/>
  <c r="AC201" i="15"/>
  <c r="AC202" i="15"/>
  <c r="AC203" i="15"/>
  <c r="AC204" i="15"/>
  <c r="AC205" i="15"/>
  <c r="AC206" i="15"/>
  <c r="AC207" i="15"/>
  <c r="AC208" i="15"/>
  <c r="AC209" i="15"/>
  <c r="AC210" i="15"/>
  <c r="AC211" i="15"/>
  <c r="AC212" i="15"/>
  <c r="AC213" i="15"/>
  <c r="AC214" i="15"/>
  <c r="AC215" i="15"/>
  <c r="AC216" i="15"/>
  <c r="AC217" i="15"/>
  <c r="AC218" i="15"/>
  <c r="AC219" i="15"/>
  <c r="AC220" i="15"/>
  <c r="AC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Y182" i="15"/>
  <c r="Y183" i="15"/>
  <c r="Y184" i="15"/>
  <c r="Y185" i="15"/>
  <c r="Y186" i="15"/>
  <c r="Y187" i="15"/>
  <c r="Y188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202" i="15"/>
  <c r="Y203" i="15"/>
  <c r="Y204" i="15"/>
  <c r="Y205" i="15"/>
  <c r="Y206" i="15"/>
  <c r="Y207" i="15"/>
  <c r="Y208" i="15"/>
  <c r="Y209" i="15"/>
  <c r="Y210" i="15"/>
  <c r="Y211" i="15"/>
  <c r="Y212" i="15"/>
  <c r="Y213" i="15"/>
  <c r="Y214" i="15"/>
  <c r="Y215" i="15"/>
  <c r="Y216" i="15"/>
  <c r="Y217" i="15"/>
  <c r="Y218" i="15"/>
  <c r="Y219" i="15"/>
  <c r="Y220" i="15"/>
  <c r="Y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12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" i="14"/>
  <c r="I20" i="14"/>
  <c r="D19" i="14"/>
  <c r="I23" i="14" l="1"/>
  <c r="D8" i="17" s="1"/>
  <c r="C3" i="15"/>
  <c r="C8" i="15"/>
  <c r="E16" i="16" s="1"/>
  <c r="C7" i="15"/>
  <c r="C4" i="15"/>
  <c r="C6" i="15"/>
  <c r="C5" i="15"/>
  <c r="F5" i="15"/>
  <c r="C23" i="14"/>
  <c r="C30" i="14"/>
  <c r="D7" i="14"/>
  <c r="D6" i="14"/>
  <c r="D5" i="14"/>
  <c r="D4" i="14"/>
  <c r="D3" i="14"/>
  <c r="C7" i="14"/>
  <c r="E7" i="14" s="1"/>
  <c r="C6" i="14"/>
  <c r="E6" i="14" s="1"/>
  <c r="C5" i="14"/>
  <c r="E5" i="14" s="1"/>
  <c r="C4" i="14"/>
  <c r="E4" i="14" s="1"/>
  <c r="C3" i="14"/>
  <c r="E3" i="14" s="1"/>
  <c r="E8" i="14" s="1"/>
  <c r="D9" i="17" s="1"/>
  <c r="I27" i="12"/>
  <c r="H13" i="13"/>
  <c r="H62" i="10"/>
  <c r="I62" i="10" s="1"/>
  <c r="J62" i="10" s="1"/>
  <c r="K62" i="10" s="1"/>
  <c r="L62" i="10" s="1"/>
  <c r="H61" i="10"/>
  <c r="I61" i="10" s="1"/>
  <c r="J61" i="10" s="1"/>
  <c r="K61" i="10" s="1"/>
  <c r="L61" i="10" s="1"/>
  <c r="H60" i="10"/>
  <c r="I60" i="10" s="1"/>
  <c r="J60" i="10" s="1"/>
  <c r="K60" i="10" s="1"/>
  <c r="L60" i="10" s="1"/>
  <c r="H58" i="10"/>
  <c r="I58" i="10" s="1"/>
  <c r="J58" i="10" s="1"/>
  <c r="K58" i="10" s="1"/>
  <c r="L58" i="10" s="1"/>
  <c r="H57" i="10"/>
  <c r="I57" i="10" s="1"/>
  <c r="J57" i="10" s="1"/>
  <c r="K57" i="10" s="1"/>
  <c r="L57" i="10" s="1"/>
  <c r="H50" i="10"/>
  <c r="I50" i="10" s="1"/>
  <c r="J50" i="10" s="1"/>
  <c r="K50" i="10" s="1"/>
  <c r="L50" i="10" s="1"/>
  <c r="H49" i="10"/>
  <c r="I49" i="10" s="1"/>
  <c r="J49" i="10" s="1"/>
  <c r="K49" i="10" s="1"/>
  <c r="L49" i="10" s="1"/>
  <c r="I48" i="10"/>
  <c r="J48" i="10" s="1"/>
  <c r="K48" i="10" s="1"/>
  <c r="L48" i="10" s="1"/>
  <c r="H48" i="10"/>
  <c r="H47" i="10"/>
  <c r="I47" i="10" s="1"/>
  <c r="J47" i="10" s="1"/>
  <c r="K47" i="10" s="1"/>
  <c r="L47" i="10" s="1"/>
  <c r="H46" i="10"/>
  <c r="I46" i="10" s="1"/>
  <c r="J46" i="10" s="1"/>
  <c r="K46" i="10" s="1"/>
  <c r="L46" i="10" s="1"/>
  <c r="H39" i="10"/>
  <c r="I39" i="10" s="1"/>
  <c r="J39" i="10" s="1"/>
  <c r="K39" i="10" s="1"/>
  <c r="L39" i="10" s="1"/>
  <c r="I38" i="10"/>
  <c r="J38" i="10"/>
  <c r="K38" i="10" s="1"/>
  <c r="L38" i="10" s="1"/>
  <c r="H38" i="10"/>
  <c r="C25" i="14" l="1"/>
  <c r="C26" i="14" s="1"/>
  <c r="D6" i="17" s="1" a="1"/>
  <c r="D6" i="17" s="1"/>
  <c r="F3" i="14"/>
  <c r="F4" i="14"/>
  <c r="F5" i="14"/>
  <c r="F6" i="14"/>
  <c r="F7" i="14"/>
  <c r="H30" i="10"/>
  <c r="I30" i="10" s="1"/>
  <c r="J30" i="10" s="1"/>
  <c r="K30" i="10" s="1"/>
  <c r="L30" i="10" s="1"/>
  <c r="I29" i="10"/>
  <c r="J29" i="10"/>
  <c r="K29" i="10"/>
  <c r="L29" i="10" s="1"/>
  <c r="H29" i="10"/>
  <c r="H28" i="10"/>
  <c r="I28" i="10" s="1"/>
  <c r="J28" i="10" s="1"/>
  <c r="K28" i="10" s="1"/>
  <c r="L28" i="10" s="1"/>
  <c r="H25" i="10"/>
  <c r="I25" i="10" s="1"/>
  <c r="J25" i="10" s="1"/>
  <c r="K25" i="10" s="1"/>
  <c r="L25" i="10" s="1"/>
  <c r="F8" i="14" l="1"/>
  <c r="D7" i="17" s="1"/>
  <c r="D10" i="17" s="1"/>
  <c r="H14" i="10"/>
  <c r="I14" i="10" s="1"/>
  <c r="J14" i="10" s="1"/>
  <c r="K14" i="10" s="1"/>
  <c r="L14" i="10" s="1"/>
  <c r="H12" i="10"/>
  <c r="I12" i="10" s="1"/>
  <c r="J12" i="10" s="1"/>
  <c r="K12" i="10" s="1"/>
  <c r="L12" i="10" s="1"/>
  <c r="I11" i="10"/>
  <c r="J11" i="10"/>
  <c r="K11" i="10" s="1"/>
  <c r="L11" i="10" s="1"/>
  <c r="H11" i="10"/>
  <c r="H10" i="10"/>
  <c r="I10" i="10" s="1"/>
  <c r="J10" i="10" s="1"/>
  <c r="H20" i="10"/>
  <c r="I20" i="10"/>
  <c r="J20" i="10"/>
  <c r="K20" i="10"/>
  <c r="L20" i="10"/>
  <c r="H19" i="10"/>
  <c r="I19" i="10"/>
  <c r="J19" i="10" s="1"/>
  <c r="K19" i="10" s="1"/>
  <c r="L19" i="10" s="1"/>
  <c r="H18" i="10"/>
  <c r="I18" i="10" s="1"/>
  <c r="J18" i="10" s="1"/>
  <c r="K18" i="10" s="1"/>
  <c r="L18" i="10" s="1"/>
  <c r="H17" i="10"/>
  <c r="I17" i="10" s="1"/>
  <c r="J17" i="10" s="1"/>
  <c r="K17" i="10" s="1"/>
  <c r="L17" i="10" s="1"/>
  <c r="I16" i="10"/>
  <c r="J16" i="10" s="1"/>
  <c r="K16" i="10" s="1"/>
  <c r="L16" i="10" s="1"/>
  <c r="H16" i="10"/>
  <c r="H15" i="10"/>
  <c r="I15" i="10" s="1"/>
  <c r="J15" i="10" s="1"/>
  <c r="K15" i="10" s="1"/>
  <c r="L15" i="10" s="1"/>
  <c r="G24" i="17" l="1"/>
  <c r="J20" i="17" s="1"/>
  <c r="J29" i="17"/>
  <c r="E24" i="17"/>
  <c r="F24" i="17"/>
  <c r="D24" i="17"/>
  <c r="C24" i="17"/>
  <c r="K10" i="10"/>
  <c r="D26" i="11"/>
  <c r="E26" i="11"/>
  <c r="F26" i="11"/>
  <c r="G26" i="11"/>
  <c r="G27" i="11"/>
  <c r="H23" i="11" s="1"/>
  <c r="C26" i="11"/>
  <c r="D16" i="11"/>
  <c r="E16" i="11"/>
  <c r="F16" i="11"/>
  <c r="G16" i="11"/>
  <c r="G17" i="11"/>
  <c r="H13" i="11" s="1"/>
  <c r="C16" i="11"/>
  <c r="G19" i="11" l="1"/>
  <c r="G15" i="11"/>
  <c r="G20" i="11" s="1"/>
  <c r="G25" i="11"/>
  <c r="L10" i="10"/>
  <c r="H9" i="13"/>
  <c r="H8" i="13"/>
  <c r="G29" i="11" l="1"/>
  <c r="H11" i="13"/>
  <c r="H14" i="13" s="1"/>
  <c r="G72" i="9"/>
  <c r="G68" i="9"/>
  <c r="D62" i="9"/>
  <c r="G62" i="9"/>
  <c r="C62" i="9"/>
  <c r="G58" i="9"/>
  <c r="G78" i="9" l="1"/>
  <c r="I34" i="8" l="1"/>
  <c r="J34" i="8" l="1"/>
  <c r="K34" i="8" s="1"/>
  <c r="L34" i="8" s="1"/>
  <c r="M34" i="8" s="1"/>
  <c r="G54" i="9"/>
  <c r="G49" i="9"/>
  <c r="G77" i="9" l="1"/>
  <c r="G79" i="9" s="1"/>
  <c r="G63" i="10"/>
  <c r="G51" i="10"/>
  <c r="G41" i="10"/>
  <c r="G32" i="10"/>
  <c r="G21" i="10"/>
  <c r="G34" i="10" s="1"/>
  <c r="F62" i="10"/>
  <c r="F61" i="10"/>
  <c r="F60" i="10"/>
  <c r="F62" i="9" s="1"/>
  <c r="F59" i="10"/>
  <c r="F72" i="9" s="1"/>
  <c r="F58" i="10"/>
  <c r="F57" i="10"/>
  <c r="F56" i="10"/>
  <c r="F55" i="10"/>
  <c r="F54" i="10"/>
  <c r="G8" i="13" s="1"/>
  <c r="F49" i="10"/>
  <c r="F47" i="10"/>
  <c r="F46" i="10"/>
  <c r="F45" i="10"/>
  <c r="F40" i="10"/>
  <c r="F38" i="10"/>
  <c r="F31" i="10"/>
  <c r="F68" i="9" s="1"/>
  <c r="F30" i="10"/>
  <c r="F28" i="10"/>
  <c r="F27" i="10"/>
  <c r="F26" i="10"/>
  <c r="F54" i="9" s="1"/>
  <c r="F24" i="10"/>
  <c r="F49" i="9" s="1"/>
  <c r="F20" i="10"/>
  <c r="F19" i="10"/>
  <c r="F18" i="10"/>
  <c r="F17" i="10"/>
  <c r="F14" i="10"/>
  <c r="F13" i="10"/>
  <c r="F27" i="11" s="1"/>
  <c r="F12" i="10"/>
  <c r="F11" i="10"/>
  <c r="F10" i="10"/>
  <c r="F9" i="10"/>
  <c r="F17" i="11" s="1"/>
  <c r="E60" i="10"/>
  <c r="E62" i="9" s="1"/>
  <c r="E59" i="10"/>
  <c r="E72" i="9" s="1"/>
  <c r="E58" i="10"/>
  <c r="E57" i="10"/>
  <c r="E56" i="10"/>
  <c r="E55" i="10"/>
  <c r="E54" i="10"/>
  <c r="F8" i="13" s="1"/>
  <c r="E49" i="10"/>
  <c r="E47" i="10"/>
  <c r="E46" i="10"/>
  <c r="E45" i="10"/>
  <c r="F9" i="13" s="1"/>
  <c r="E40" i="10"/>
  <c r="E38" i="10"/>
  <c r="E41" i="10" s="1"/>
  <c r="E31" i="10"/>
  <c r="E68" i="9" s="1"/>
  <c r="E30" i="10"/>
  <c r="E28" i="10"/>
  <c r="E27" i="10"/>
  <c r="E26" i="10"/>
  <c r="E54" i="9" s="1"/>
  <c r="E24" i="10"/>
  <c r="E49" i="9" s="1"/>
  <c r="E20" i="10"/>
  <c r="E19" i="10"/>
  <c r="E18" i="10"/>
  <c r="E17" i="10"/>
  <c r="E14" i="10"/>
  <c r="E13" i="10"/>
  <c r="E27" i="11" s="1"/>
  <c r="E12" i="10"/>
  <c r="E11" i="10"/>
  <c r="E10" i="10"/>
  <c r="E9" i="10"/>
  <c r="E17" i="11" s="1"/>
  <c r="D62" i="10"/>
  <c r="D61" i="10"/>
  <c r="D59" i="10"/>
  <c r="D72" i="9" s="1"/>
  <c r="D58" i="10"/>
  <c r="D57" i="10"/>
  <c r="D56" i="10"/>
  <c r="D55" i="10"/>
  <c r="D58" i="9" s="1"/>
  <c r="D54" i="10"/>
  <c r="E8" i="13" s="1"/>
  <c r="D49" i="10"/>
  <c r="D48" i="10"/>
  <c r="D46" i="10"/>
  <c r="D45" i="10"/>
  <c r="D40" i="10"/>
  <c r="D38" i="10"/>
  <c r="D31" i="10"/>
  <c r="D68" i="9" s="1"/>
  <c r="D30" i="10"/>
  <c r="D28" i="10"/>
  <c r="D27" i="10"/>
  <c r="D26" i="10"/>
  <c r="D54" i="9" s="1"/>
  <c r="D24" i="10"/>
  <c r="D49" i="9" s="1"/>
  <c r="D20" i="10"/>
  <c r="D19" i="10"/>
  <c r="D17" i="10"/>
  <c r="D13" i="10"/>
  <c r="D27" i="11" s="1"/>
  <c r="D11" i="10"/>
  <c r="D10" i="10"/>
  <c r="D9" i="10"/>
  <c r="D17" i="11" s="1"/>
  <c r="C62" i="10"/>
  <c r="C61" i="10"/>
  <c r="C59" i="10"/>
  <c r="C72" i="9" s="1"/>
  <c r="C58" i="10"/>
  <c r="C56" i="10"/>
  <c r="C55" i="10"/>
  <c r="C54" i="10"/>
  <c r="D8" i="13" s="1"/>
  <c r="C50" i="10"/>
  <c r="C49" i="10"/>
  <c r="C48" i="10"/>
  <c r="C45" i="10"/>
  <c r="D9" i="13" s="1"/>
  <c r="C40" i="10"/>
  <c r="C38" i="10"/>
  <c r="C31" i="10"/>
  <c r="C68" i="9" s="1"/>
  <c r="C30" i="10"/>
  <c r="C29" i="10"/>
  <c r="C28" i="10"/>
  <c r="C27" i="10"/>
  <c r="C26" i="10"/>
  <c r="C54" i="9" s="1"/>
  <c r="C25" i="10"/>
  <c r="C24" i="10"/>
  <c r="C20" i="10"/>
  <c r="C19" i="10"/>
  <c r="C17" i="10"/>
  <c r="C16" i="10"/>
  <c r="C13" i="10"/>
  <c r="C27" i="11" s="1"/>
  <c r="C11" i="10"/>
  <c r="C9" i="10"/>
  <c r="C17" i="11" s="1"/>
  <c r="F11" i="13" l="1"/>
  <c r="F51" i="10"/>
  <c r="G9" i="13"/>
  <c r="D13" i="11"/>
  <c r="C15" i="11"/>
  <c r="D51" i="10"/>
  <c r="E9" i="13"/>
  <c r="E11" i="13"/>
  <c r="C25" i="11"/>
  <c r="D23" i="11"/>
  <c r="F25" i="11"/>
  <c r="G23" i="11"/>
  <c r="G24" i="11" s="1"/>
  <c r="H24" i="11" s="1"/>
  <c r="E23" i="11"/>
  <c r="D25" i="11"/>
  <c r="E15" i="11"/>
  <c r="E19" i="11" s="1"/>
  <c r="F13" i="11"/>
  <c r="D15" i="11"/>
  <c r="D19" i="11" s="1"/>
  <c r="E13" i="11"/>
  <c r="E14" i="11" s="1"/>
  <c r="D11" i="13"/>
  <c r="C58" i="9"/>
  <c r="C78" i="9" s="1"/>
  <c r="G11" i="13"/>
  <c r="G65" i="10"/>
  <c r="G67" i="10" s="1"/>
  <c r="G70" i="10" s="1"/>
  <c r="E25" i="11"/>
  <c r="F23" i="11"/>
  <c r="G13" i="11"/>
  <c r="G14" i="11" s="1"/>
  <c r="F15" i="11"/>
  <c r="F19" i="11" s="1"/>
  <c r="H19" i="11" s="1"/>
  <c r="E51" i="10"/>
  <c r="F41" i="10"/>
  <c r="D77" i="9"/>
  <c r="F77" i="9"/>
  <c r="F58" i="9"/>
  <c r="F78" i="9" s="1"/>
  <c r="F79" i="9" s="1"/>
  <c r="G80" i="9" s="1"/>
  <c r="F21" i="10"/>
  <c r="E63" i="10"/>
  <c r="D63" i="10"/>
  <c r="D65" i="10" s="1"/>
  <c r="C51" i="10"/>
  <c r="D32" i="10"/>
  <c r="D41" i="10"/>
  <c r="E77" i="9"/>
  <c r="C32" i="10"/>
  <c r="C49" i="9"/>
  <c r="C77" i="9" s="1"/>
  <c r="F63" i="10"/>
  <c r="C63" i="10"/>
  <c r="E58" i="9"/>
  <c r="E78" i="9" s="1"/>
  <c r="F32" i="10"/>
  <c r="D78" i="9"/>
  <c r="D79" i="9" s="1"/>
  <c r="E32" i="10"/>
  <c r="C21" i="10"/>
  <c r="C41" i="10"/>
  <c r="D21" i="10"/>
  <c r="E21" i="10"/>
  <c r="C24" i="11" l="1"/>
  <c r="C29" i="11"/>
  <c r="F65" i="10"/>
  <c r="F67" i="10" s="1"/>
  <c r="C14" i="11"/>
  <c r="C19" i="11"/>
  <c r="D24" i="11"/>
  <c r="D29" i="11"/>
  <c r="I24" i="11"/>
  <c r="J24" i="11" s="1"/>
  <c r="K24" i="11" s="1"/>
  <c r="L24" i="11" s="1"/>
  <c r="H25" i="11"/>
  <c r="E24" i="11"/>
  <c r="E29" i="11"/>
  <c r="E34" i="10"/>
  <c r="E70" i="10" s="1"/>
  <c r="F14" i="11"/>
  <c r="D14" i="11"/>
  <c r="F24" i="11"/>
  <c r="F29" i="11"/>
  <c r="H29" i="11" s="1"/>
  <c r="F34" i="10"/>
  <c r="C79" i="9"/>
  <c r="D80" i="9" s="1"/>
  <c r="E65" i="10"/>
  <c r="E67" i="10" s="1"/>
  <c r="E79" i="9"/>
  <c r="E80" i="9" s="1"/>
  <c r="C65" i="10"/>
  <c r="C67" i="10" s="1"/>
  <c r="D67" i="10"/>
  <c r="D70" i="10" s="1"/>
  <c r="D34" i="10"/>
  <c r="C34" i="10"/>
  <c r="F70" i="10"/>
  <c r="F19" i="9"/>
  <c r="F17" i="9"/>
  <c r="F15" i="9"/>
  <c r="F13" i="9"/>
  <c r="F9" i="9"/>
  <c r="G10" i="9" s="1"/>
  <c r="E19" i="9"/>
  <c r="E17" i="9"/>
  <c r="E15" i="9"/>
  <c r="E13" i="9"/>
  <c r="E11" i="9"/>
  <c r="E9" i="9"/>
  <c r="D19" i="9"/>
  <c r="D17" i="9"/>
  <c r="D15" i="9"/>
  <c r="D13" i="9"/>
  <c r="D11" i="9"/>
  <c r="D9" i="9"/>
  <c r="G22" i="9"/>
  <c r="C19" i="9"/>
  <c r="C17" i="9"/>
  <c r="C15" i="9"/>
  <c r="G30" i="9"/>
  <c r="C13" i="9"/>
  <c r="C11" i="9"/>
  <c r="C9" i="9"/>
  <c r="G36" i="9"/>
  <c r="G33" i="9"/>
  <c r="D14" i="8"/>
  <c r="G27" i="9"/>
  <c r="H30" i="8"/>
  <c r="G40" i="9" s="1"/>
  <c r="E21" i="8"/>
  <c r="D21" i="8"/>
  <c r="G14" i="8"/>
  <c r="F14" i="8"/>
  <c r="E14" i="8"/>
  <c r="D26" i="8"/>
  <c r="E26" i="8"/>
  <c r="H20" i="8"/>
  <c r="H10" i="8"/>
  <c r="G27" i="8"/>
  <c r="G28" i="8"/>
  <c r="G25" i="8"/>
  <c r="F28" i="8"/>
  <c r="F27" i="8"/>
  <c r="F25" i="8"/>
  <c r="E27" i="8"/>
  <c r="E25" i="8"/>
  <c r="D28" i="8"/>
  <c r="D27" i="8"/>
  <c r="D25" i="8"/>
  <c r="G9" i="8"/>
  <c r="F27" i="9" s="1"/>
  <c r="F9" i="8"/>
  <c r="E27" i="9" s="1"/>
  <c r="E9" i="8"/>
  <c r="D27" i="9" s="1"/>
  <c r="D9" i="8"/>
  <c r="C27" i="9" s="1"/>
  <c r="G19" i="8"/>
  <c r="F36" i="9" s="1"/>
  <c r="G18" i="8"/>
  <c r="G17" i="8"/>
  <c r="G16" i="8"/>
  <c r="G13" i="13" s="1"/>
  <c r="G14" i="13" s="1"/>
  <c r="G15" i="8"/>
  <c r="F33" i="9" s="1"/>
  <c r="G13" i="8"/>
  <c r="G12" i="8"/>
  <c r="F19" i="8"/>
  <c r="E36" i="9" s="1"/>
  <c r="F18" i="8"/>
  <c r="F17" i="8"/>
  <c r="F16" i="8"/>
  <c r="F13" i="13" s="1"/>
  <c r="F14" i="13" s="1"/>
  <c r="F15" i="8"/>
  <c r="E33" i="9" s="1"/>
  <c r="F13" i="8"/>
  <c r="F12" i="8"/>
  <c r="E19" i="8"/>
  <c r="D36" i="9" s="1"/>
  <c r="E18" i="8"/>
  <c r="E17" i="8"/>
  <c r="E16" i="8"/>
  <c r="E13" i="13" s="1"/>
  <c r="E14" i="13" s="1"/>
  <c r="E15" i="8"/>
  <c r="D33" i="9" s="1"/>
  <c r="E13" i="8"/>
  <c r="E12" i="8"/>
  <c r="D19" i="8"/>
  <c r="C36" i="9" s="1"/>
  <c r="D18" i="8"/>
  <c r="D17" i="8"/>
  <c r="D16" i="8"/>
  <c r="D13" i="13" s="1"/>
  <c r="D14" i="13" s="1"/>
  <c r="D15" i="8"/>
  <c r="C33" i="9" s="1"/>
  <c r="D12" i="8"/>
  <c r="G8" i="8"/>
  <c r="F20" i="11" s="1"/>
  <c r="F8" i="8"/>
  <c r="E20" i="11" s="1"/>
  <c r="E8" i="8"/>
  <c r="D20" i="11" s="1"/>
  <c r="D8" i="8"/>
  <c r="C20" i="11" s="1"/>
  <c r="F80" i="9" l="1"/>
  <c r="C70" i="10"/>
  <c r="I14" i="13"/>
  <c r="D17" i="14" s="1"/>
  <c r="D20" i="14" s="1"/>
  <c r="H26" i="11"/>
  <c r="H27" i="11"/>
  <c r="C22" i="9"/>
  <c r="C67" i="9" s="1"/>
  <c r="C69" i="9" s="1"/>
  <c r="D30" i="9"/>
  <c r="D48" i="9" s="1"/>
  <c r="D50" i="9" s="1"/>
  <c r="D51" i="9" s="1"/>
  <c r="E30" i="8"/>
  <c r="D40" i="9" s="1"/>
  <c r="E30" i="9"/>
  <c r="E57" i="9" s="1"/>
  <c r="E59" i="9" s="1"/>
  <c r="D30" i="8"/>
  <c r="C40" i="9" s="1"/>
  <c r="F30" i="9"/>
  <c r="F57" i="9" s="1"/>
  <c r="F59" i="9" s="1"/>
  <c r="H59" i="9" s="1"/>
  <c r="E16" i="9"/>
  <c r="G26" i="9"/>
  <c r="G53" i="9" s="1"/>
  <c r="G55" i="9" s="1"/>
  <c r="H55" i="9" s="1"/>
  <c r="G71" i="9"/>
  <c r="G73" i="9" s="1"/>
  <c r="G67" i="9"/>
  <c r="G69" i="9" s="1"/>
  <c r="D20" i="9"/>
  <c r="D22" i="9"/>
  <c r="H23" i="8"/>
  <c r="H38" i="8" s="1"/>
  <c r="H39" i="8" s="1"/>
  <c r="E22" i="9"/>
  <c r="C30" i="9"/>
  <c r="C31" i="9" s="1"/>
  <c r="F30" i="8"/>
  <c r="E40" i="9" s="1"/>
  <c r="G30" i="8"/>
  <c r="F40" i="9" s="1"/>
  <c r="F22" i="9"/>
  <c r="G48" i="9"/>
  <c r="G50" i="9" s="1"/>
  <c r="G51" i="9" s="1"/>
  <c r="G57" i="9"/>
  <c r="G59" i="9" s="1"/>
  <c r="G31" i="9"/>
  <c r="C26" i="9"/>
  <c r="C28" i="9" s="1"/>
  <c r="D16" i="9"/>
  <c r="D10" i="9"/>
  <c r="D18" i="9"/>
  <c r="F14" i="9"/>
  <c r="F16" i="9"/>
  <c r="F18" i="9"/>
  <c r="F20" i="9"/>
  <c r="E10" i="9"/>
  <c r="G14" i="9"/>
  <c r="G16" i="9"/>
  <c r="E12" i="9"/>
  <c r="E14" i="9"/>
  <c r="D12" i="9"/>
  <c r="D14" i="9"/>
  <c r="E18" i="9"/>
  <c r="E20" i="9"/>
  <c r="G18" i="9"/>
  <c r="G20" i="9"/>
  <c r="F10" i="9"/>
  <c r="E20" i="8"/>
  <c r="E10" i="8"/>
  <c r="F10" i="8"/>
  <c r="G20" i="8"/>
  <c r="D20" i="8"/>
  <c r="F20" i="8"/>
  <c r="D10" i="8"/>
  <c r="G10" i="8"/>
  <c r="C71" i="9" l="1"/>
  <c r="C73" i="9" s="1"/>
  <c r="D57" i="9"/>
  <c r="D59" i="9" s="1"/>
  <c r="H13" i="10"/>
  <c r="I23" i="11"/>
  <c r="I25" i="11" s="1"/>
  <c r="E23" i="8"/>
  <c r="E48" i="9"/>
  <c r="E50" i="9" s="1"/>
  <c r="E51" i="9" s="1"/>
  <c r="G28" i="9"/>
  <c r="F48" i="9"/>
  <c r="F50" i="9" s="1"/>
  <c r="F51" i="9" s="1"/>
  <c r="G37" i="9"/>
  <c r="G61" i="9"/>
  <c r="G63" i="9" s="1"/>
  <c r="H63" i="9" s="1"/>
  <c r="G34" i="9"/>
  <c r="E26" i="9"/>
  <c r="E37" i="9" s="1"/>
  <c r="E67" i="9"/>
  <c r="E69" i="9" s="1"/>
  <c r="E71" i="9"/>
  <c r="E73" i="9" s="1"/>
  <c r="D26" i="9"/>
  <c r="D61" i="9" s="1"/>
  <c r="D63" i="9" s="1"/>
  <c r="D67" i="9"/>
  <c r="D69" i="9" s="1"/>
  <c r="D71" i="9"/>
  <c r="D73" i="9" s="1"/>
  <c r="E31" i="9"/>
  <c r="F26" i="9"/>
  <c r="F34" i="9" s="1"/>
  <c r="H34" i="9" s="1"/>
  <c r="F67" i="9"/>
  <c r="F69" i="9" s="1"/>
  <c r="F71" i="9"/>
  <c r="F73" i="9" s="1"/>
  <c r="H18" i="9"/>
  <c r="H17" i="9" s="1"/>
  <c r="I17" i="9" s="1"/>
  <c r="J17" i="9" s="1"/>
  <c r="K17" i="9" s="1"/>
  <c r="L17" i="9" s="1"/>
  <c r="H51" i="9"/>
  <c r="H31" i="8"/>
  <c r="G39" i="9"/>
  <c r="G41" i="9" s="1"/>
  <c r="C57" i="9"/>
  <c r="C59" i="9" s="1"/>
  <c r="C48" i="9"/>
  <c r="C50" i="9" s="1"/>
  <c r="C51" i="9" s="1"/>
  <c r="D31" i="9"/>
  <c r="F31" i="9"/>
  <c r="H31" i="9" s="1"/>
  <c r="C37" i="9"/>
  <c r="C53" i="9"/>
  <c r="C55" i="9" s="1"/>
  <c r="C61" i="9"/>
  <c r="C63" i="9" s="1"/>
  <c r="C34" i="9"/>
  <c r="H10" i="9"/>
  <c r="H9" i="9" s="1"/>
  <c r="I9" i="9" s="1"/>
  <c r="H14" i="9"/>
  <c r="H13" i="9" s="1"/>
  <c r="I13" i="9" s="1"/>
  <c r="J13" i="9" s="1"/>
  <c r="K13" i="9" s="1"/>
  <c r="L13" i="9" s="1"/>
  <c r="H16" i="9"/>
  <c r="H15" i="9" s="1"/>
  <c r="I15" i="9" s="1"/>
  <c r="J15" i="9" s="1"/>
  <c r="K15" i="9" s="1"/>
  <c r="L15" i="9" s="1"/>
  <c r="H20" i="9"/>
  <c r="H19" i="9" s="1"/>
  <c r="I19" i="9" s="1"/>
  <c r="J19" i="9" s="1"/>
  <c r="K19" i="9" s="1"/>
  <c r="L19" i="9" s="1"/>
  <c r="D23" i="8"/>
  <c r="D38" i="8" s="1"/>
  <c r="D39" i="8" s="1"/>
  <c r="G23" i="8"/>
  <c r="G38" i="8" s="1"/>
  <c r="G39" i="8" s="1"/>
  <c r="F23" i="8"/>
  <c r="F38" i="8" s="1"/>
  <c r="F39" i="8" s="1"/>
  <c r="E31" i="8" l="1"/>
  <c r="E38" i="8"/>
  <c r="E39" i="8" s="1"/>
  <c r="I26" i="11"/>
  <c r="I27" i="11"/>
  <c r="E28" i="9"/>
  <c r="D39" i="9"/>
  <c r="D41" i="9" s="1"/>
  <c r="G65" i="9"/>
  <c r="D43" i="9"/>
  <c r="E36" i="8"/>
  <c r="D37" i="9"/>
  <c r="G43" i="9"/>
  <c r="H36" i="8"/>
  <c r="D34" i="9"/>
  <c r="D53" i="9"/>
  <c r="D55" i="9" s="1"/>
  <c r="D65" i="9" s="1"/>
  <c r="F28" i="9"/>
  <c r="H28" i="9" s="1"/>
  <c r="H27" i="9" s="1"/>
  <c r="I27" i="9" s="1"/>
  <c r="F53" i="9"/>
  <c r="F55" i="9" s="1"/>
  <c r="F61" i="9"/>
  <c r="F63" i="9" s="1"/>
  <c r="F37" i="9"/>
  <c r="H69" i="9"/>
  <c r="H73" i="9"/>
  <c r="D28" i="9"/>
  <c r="E61" i="9"/>
  <c r="E63" i="9" s="1"/>
  <c r="E34" i="9"/>
  <c r="E53" i="9"/>
  <c r="E55" i="9" s="1"/>
  <c r="E65" i="9" s="1"/>
  <c r="C65" i="9"/>
  <c r="F31" i="8"/>
  <c r="E39" i="9"/>
  <c r="E41" i="9" s="1"/>
  <c r="G31" i="8"/>
  <c r="F39" i="9"/>
  <c r="F41" i="9" s="1"/>
  <c r="H41" i="9" s="1"/>
  <c r="D31" i="8"/>
  <c r="C39" i="9"/>
  <c r="C41" i="9" s="1"/>
  <c r="J9" i="9"/>
  <c r="I22" i="9"/>
  <c r="H22" i="9"/>
  <c r="I13" i="10" l="1"/>
  <c r="J23" i="11"/>
  <c r="J25" i="11" s="1"/>
  <c r="H37" i="9"/>
  <c r="E43" i="9"/>
  <c r="F36" i="8"/>
  <c r="F43" i="9"/>
  <c r="G36" i="8"/>
  <c r="I9" i="8"/>
  <c r="C43" i="9"/>
  <c r="D36" i="8"/>
  <c r="H26" i="9"/>
  <c r="H30" i="9" s="1"/>
  <c r="H71" i="9"/>
  <c r="H72" i="9" s="1"/>
  <c r="H59" i="10" s="1"/>
  <c r="H67" i="9"/>
  <c r="H68" i="9" s="1"/>
  <c r="H31" i="10" s="1"/>
  <c r="I26" i="9"/>
  <c r="I30" i="9" s="1"/>
  <c r="I57" i="9" s="1"/>
  <c r="I58" i="9" s="1"/>
  <c r="I56" i="10" s="1"/>
  <c r="I67" i="9"/>
  <c r="I68" i="9" s="1"/>
  <c r="I31" i="10" s="1"/>
  <c r="I71" i="9"/>
  <c r="I72" i="9" s="1"/>
  <c r="I59" i="10" s="1"/>
  <c r="F65" i="9"/>
  <c r="H33" i="9"/>
  <c r="I15" i="8" s="1"/>
  <c r="I33" i="9"/>
  <c r="J15" i="8" s="1"/>
  <c r="J27" i="9"/>
  <c r="J9" i="8"/>
  <c r="K9" i="9"/>
  <c r="J22" i="9"/>
  <c r="J27" i="11" l="1"/>
  <c r="J26" i="11"/>
  <c r="I8" i="8"/>
  <c r="I61" i="9"/>
  <c r="I62" i="9" s="1"/>
  <c r="J8" i="8"/>
  <c r="H53" i="9"/>
  <c r="H54" i="9" s="1"/>
  <c r="H26" i="10" s="1"/>
  <c r="H61" i="9"/>
  <c r="H62" i="9" s="1"/>
  <c r="J14" i="8"/>
  <c r="I48" i="9"/>
  <c r="I49" i="9" s="1"/>
  <c r="I24" i="10" s="1"/>
  <c r="H36" i="9"/>
  <c r="I19" i="8" s="1"/>
  <c r="I36" i="9"/>
  <c r="J19" i="8" s="1"/>
  <c r="I53" i="9"/>
  <c r="I54" i="9" s="1"/>
  <c r="I26" i="10" s="1"/>
  <c r="J67" i="9"/>
  <c r="J68" i="9" s="1"/>
  <c r="J31" i="10" s="1"/>
  <c r="J71" i="9"/>
  <c r="J72" i="9" s="1"/>
  <c r="J59" i="10" s="1"/>
  <c r="I10" i="8"/>
  <c r="I14" i="8"/>
  <c r="H48" i="9"/>
  <c r="H49" i="9" s="1"/>
  <c r="H24" i="10" s="1"/>
  <c r="H57" i="9"/>
  <c r="H58" i="9" s="1"/>
  <c r="H56" i="10" s="1"/>
  <c r="J26" i="9"/>
  <c r="J33" i="9"/>
  <c r="K15" i="8" s="1"/>
  <c r="K27" i="9"/>
  <c r="K9" i="8"/>
  <c r="K22" i="9"/>
  <c r="L9" i="9"/>
  <c r="L22" i="9" s="1"/>
  <c r="J22" i="12" l="1"/>
  <c r="I15" i="11"/>
  <c r="J10" i="8"/>
  <c r="I22" i="12"/>
  <c r="H15" i="11"/>
  <c r="K23" i="11"/>
  <c r="K25" i="11" s="1"/>
  <c r="J13" i="10"/>
  <c r="I77" i="9"/>
  <c r="I78" i="9"/>
  <c r="L33" i="9"/>
  <c r="M15" i="8" s="1"/>
  <c r="L67" i="9"/>
  <c r="L68" i="9" s="1"/>
  <c r="L31" i="10" s="1"/>
  <c r="L71" i="9"/>
  <c r="L72" i="9" s="1"/>
  <c r="L59" i="10" s="1"/>
  <c r="K33" i="9"/>
  <c r="L15" i="8" s="1"/>
  <c r="K67" i="9"/>
  <c r="K68" i="9" s="1"/>
  <c r="K31" i="10" s="1"/>
  <c r="K71" i="9"/>
  <c r="K72" i="9" s="1"/>
  <c r="K59" i="10" s="1"/>
  <c r="H78" i="9"/>
  <c r="H77" i="9"/>
  <c r="J53" i="9"/>
  <c r="J54" i="9" s="1"/>
  <c r="J26" i="10" s="1"/>
  <c r="J61" i="9"/>
  <c r="J62" i="9" s="1"/>
  <c r="K8" i="8"/>
  <c r="J36" i="9"/>
  <c r="K19" i="8" s="1"/>
  <c r="J30" i="9"/>
  <c r="L27" i="9"/>
  <c r="M9" i="8" s="1"/>
  <c r="L9" i="8"/>
  <c r="K26" i="9"/>
  <c r="L26" i="9"/>
  <c r="H14" i="11" l="1"/>
  <c r="I15" i="12" s="1"/>
  <c r="I16" i="12" s="1"/>
  <c r="H17" i="11"/>
  <c r="H16" i="11"/>
  <c r="I17" i="8" s="1"/>
  <c r="I10" i="12" s="1"/>
  <c r="K22" i="12"/>
  <c r="J15" i="11"/>
  <c r="K26" i="11"/>
  <c r="K27" i="11" s="1"/>
  <c r="I17" i="11"/>
  <c r="I16" i="11"/>
  <c r="J17" i="8" s="1"/>
  <c r="J10" i="12" s="1"/>
  <c r="I79" i="9"/>
  <c r="H79" i="9"/>
  <c r="H80" i="9" s="1"/>
  <c r="I11" i="12" s="1"/>
  <c r="K10" i="8"/>
  <c r="K14" i="8"/>
  <c r="J48" i="9"/>
  <c r="J49" i="9" s="1"/>
  <c r="J24" i="10" s="1"/>
  <c r="J57" i="9"/>
  <c r="J58" i="9" s="1"/>
  <c r="J56" i="10" s="1"/>
  <c r="L61" i="9"/>
  <c r="L62" i="9" s="1"/>
  <c r="L53" i="9"/>
  <c r="L54" i="9" s="1"/>
  <c r="L26" i="10" s="1"/>
  <c r="K61" i="9"/>
  <c r="K62" i="9" s="1"/>
  <c r="K53" i="9"/>
  <c r="K54" i="9" s="1"/>
  <c r="K26" i="10" s="1"/>
  <c r="L8" i="8"/>
  <c r="K36" i="9"/>
  <c r="L19" i="8" s="1"/>
  <c r="K30" i="9"/>
  <c r="M8" i="8"/>
  <c r="L36" i="9"/>
  <c r="M19" i="8" s="1"/>
  <c r="L30" i="9"/>
  <c r="L23" i="11" l="1"/>
  <c r="L25" i="11" s="1"/>
  <c r="K13" i="10"/>
  <c r="L22" i="12"/>
  <c r="K15" i="11"/>
  <c r="J16" i="11"/>
  <c r="K17" i="8" s="1"/>
  <c r="K10" i="12" s="1"/>
  <c r="J17" i="11"/>
  <c r="M22" i="12"/>
  <c r="L15" i="11"/>
  <c r="I9" i="10"/>
  <c r="I21" i="10" s="1"/>
  <c r="J13" i="11"/>
  <c r="J14" i="11" s="1"/>
  <c r="K15" i="12" s="1"/>
  <c r="K16" i="12" s="1"/>
  <c r="H9" i="10"/>
  <c r="H21" i="10" s="1"/>
  <c r="I13" i="11"/>
  <c r="I14" i="11" s="1"/>
  <c r="J15" i="12" s="1"/>
  <c r="J16" i="12" s="1"/>
  <c r="I80" i="9"/>
  <c r="J11" i="12" s="1"/>
  <c r="J78" i="9"/>
  <c r="J77" i="9"/>
  <c r="J79" i="9" s="1"/>
  <c r="J80" i="9" s="1"/>
  <c r="K11" i="12" s="1"/>
  <c r="L10" i="8"/>
  <c r="M10" i="8"/>
  <c r="L14" i="8"/>
  <c r="K57" i="9"/>
  <c r="K58" i="9" s="1"/>
  <c r="K56" i="10" s="1"/>
  <c r="K48" i="9"/>
  <c r="K49" i="9" s="1"/>
  <c r="K24" i="10" s="1"/>
  <c r="M14" i="8"/>
  <c r="L57" i="9"/>
  <c r="L58" i="9" s="1"/>
  <c r="L56" i="10" s="1"/>
  <c r="L48" i="9"/>
  <c r="L49" i="9" s="1"/>
  <c r="L24" i="10" s="1"/>
  <c r="J9" i="10" l="1"/>
  <c r="J21" i="10" s="1"/>
  <c r="K13" i="11"/>
  <c r="L16" i="11"/>
  <c r="L17" i="11" s="1"/>
  <c r="L9" i="10" s="1"/>
  <c r="K14" i="11"/>
  <c r="L15" i="12" s="1"/>
  <c r="L16" i="12" s="1"/>
  <c r="K16" i="11"/>
  <c r="L17" i="8" s="1"/>
  <c r="L10" i="12" s="1"/>
  <c r="L26" i="11"/>
  <c r="L27" i="11" s="1"/>
  <c r="L13" i="10" s="1"/>
  <c r="L77" i="9"/>
  <c r="L78" i="9"/>
  <c r="K77" i="9"/>
  <c r="K78" i="9"/>
  <c r="L21" i="10" l="1"/>
  <c r="K17" i="11"/>
  <c r="M17" i="8"/>
  <c r="M10" i="12" s="1"/>
  <c r="K79" i="9"/>
  <c r="K80" i="9" s="1"/>
  <c r="L11" i="12" s="1"/>
  <c r="L79" i="9"/>
  <c r="K9" i="10" l="1"/>
  <c r="K21" i="10" s="1"/>
  <c r="L13" i="11"/>
  <c r="L14" i="11" s="1"/>
  <c r="M15" i="12" s="1"/>
  <c r="M16" i="12" s="1"/>
  <c r="L80" i="9"/>
  <c r="M11" i="12" s="1"/>
  <c r="H39" i="9"/>
  <c r="I39" i="9"/>
  <c r="J39" i="9"/>
  <c r="K39" i="9"/>
  <c r="L39" i="9"/>
  <c r="H40" i="9"/>
  <c r="I40" i="9"/>
  <c r="J40" i="9"/>
  <c r="K40" i="9"/>
  <c r="L40" i="9"/>
  <c r="H43" i="9"/>
  <c r="I43" i="9"/>
  <c r="J43" i="9"/>
  <c r="K43" i="9"/>
  <c r="L43" i="9"/>
  <c r="H27" i="10"/>
  <c r="I27" i="10"/>
  <c r="J27" i="10"/>
  <c r="K27" i="10"/>
  <c r="L27" i="10"/>
  <c r="H32" i="10"/>
  <c r="I32" i="10"/>
  <c r="J32" i="10"/>
  <c r="K32" i="10"/>
  <c r="L32" i="10"/>
  <c r="H34" i="10"/>
  <c r="I34" i="10"/>
  <c r="J34" i="10"/>
  <c r="K34" i="10"/>
  <c r="L34" i="10"/>
  <c r="H40" i="10"/>
  <c r="I40" i="10"/>
  <c r="J40" i="10"/>
  <c r="K40" i="10"/>
  <c r="L40" i="10"/>
  <c r="H41" i="10"/>
  <c r="I41" i="10"/>
  <c r="J41" i="10"/>
  <c r="K41" i="10"/>
  <c r="L41" i="10"/>
  <c r="H45" i="10"/>
  <c r="I45" i="10"/>
  <c r="J45" i="10"/>
  <c r="K45" i="10"/>
  <c r="L45" i="10"/>
  <c r="H51" i="10"/>
  <c r="I51" i="10"/>
  <c r="J51" i="10"/>
  <c r="K51" i="10"/>
  <c r="L51" i="10"/>
  <c r="O51" i="10"/>
  <c r="H54" i="10"/>
  <c r="I54" i="10"/>
  <c r="J54" i="10"/>
  <c r="K54" i="10"/>
  <c r="L54" i="10"/>
  <c r="H63" i="10"/>
  <c r="I63" i="10"/>
  <c r="J63" i="10"/>
  <c r="K63" i="10"/>
  <c r="L63" i="10"/>
  <c r="H65" i="10"/>
  <c r="I65" i="10"/>
  <c r="J65" i="10"/>
  <c r="K65" i="10"/>
  <c r="L65" i="10"/>
  <c r="H67" i="10"/>
  <c r="I67" i="10"/>
  <c r="J67" i="10"/>
  <c r="K67" i="10"/>
  <c r="L67" i="10"/>
  <c r="H70" i="10"/>
  <c r="I70" i="10"/>
  <c r="J70" i="10"/>
  <c r="K70" i="10"/>
  <c r="L70" i="10"/>
  <c r="I9" i="12"/>
  <c r="J9" i="12"/>
  <c r="K9" i="12"/>
  <c r="L9" i="12"/>
  <c r="M9" i="12"/>
  <c r="I12" i="12"/>
  <c r="J12" i="12"/>
  <c r="K12" i="12"/>
  <c r="L12" i="12"/>
  <c r="M12" i="12"/>
  <c r="I18" i="12"/>
  <c r="J18" i="12"/>
  <c r="K18" i="12"/>
  <c r="L18" i="12"/>
  <c r="M18" i="12"/>
  <c r="I21" i="12"/>
  <c r="J21" i="12"/>
  <c r="K21" i="12"/>
  <c r="L21" i="12"/>
  <c r="M21" i="12"/>
  <c r="I24" i="12"/>
  <c r="J24" i="12"/>
  <c r="K24" i="12"/>
  <c r="L24" i="12"/>
  <c r="M24" i="12"/>
  <c r="I26" i="12"/>
  <c r="J26" i="12"/>
  <c r="K26" i="12"/>
  <c r="L26" i="12"/>
  <c r="M26" i="12"/>
  <c r="J27" i="12"/>
  <c r="K27" i="12"/>
  <c r="L27" i="12"/>
  <c r="M27" i="12"/>
  <c r="I28" i="12"/>
  <c r="J28" i="12"/>
  <c r="K28" i="12"/>
  <c r="L28" i="12"/>
  <c r="M28" i="12"/>
  <c r="G22" i="18"/>
  <c r="G24" i="18"/>
  <c r="G26" i="18"/>
  <c r="C16" i="17"/>
  <c r="D16" i="17"/>
  <c r="E16" i="17"/>
  <c r="F16" i="17"/>
  <c r="G16" i="17"/>
  <c r="J16" i="17"/>
  <c r="C17" i="17"/>
  <c r="D17" i="17"/>
  <c r="E17" i="17"/>
  <c r="F17" i="17"/>
  <c r="G17" i="17"/>
  <c r="J17" i="17"/>
  <c r="L17" i="17"/>
  <c r="C18" i="17"/>
  <c r="D18" i="17"/>
  <c r="E18" i="17"/>
  <c r="F18" i="17"/>
  <c r="G18" i="17"/>
  <c r="J18" i="17"/>
  <c r="J19" i="17"/>
  <c r="C22" i="17"/>
  <c r="D22" i="17"/>
  <c r="E22" i="17"/>
  <c r="F22" i="17"/>
  <c r="G22" i="17"/>
  <c r="J22" i="17"/>
  <c r="J23" i="17"/>
  <c r="J24" i="17"/>
  <c r="C26" i="17"/>
  <c r="D26" i="17"/>
  <c r="E26" i="17"/>
  <c r="F26" i="17"/>
  <c r="G26" i="17"/>
  <c r="B27" i="17"/>
  <c r="J28" i="17"/>
  <c r="C30" i="17"/>
  <c r="F30" i="17"/>
  <c r="J31" i="17"/>
  <c r="B32" i="17"/>
  <c r="F32" i="17"/>
  <c r="F33" i="17"/>
  <c r="L36" i="17"/>
  <c r="C37" i="17"/>
  <c r="C38" i="17"/>
  <c r="C41" i="17"/>
  <c r="F41" i="17"/>
  <c r="C47" i="17"/>
  <c r="F47" i="17"/>
  <c r="C50" i="17"/>
  <c r="F50" i="17"/>
  <c r="C53" i="17"/>
  <c r="F53" i="17"/>
  <c r="I8" i="13"/>
  <c r="J8" i="13"/>
  <c r="K8" i="13"/>
  <c r="L8" i="13"/>
  <c r="M8" i="13"/>
  <c r="I9" i="13"/>
  <c r="J9" i="13"/>
  <c r="K9" i="13"/>
  <c r="L9" i="13"/>
  <c r="M9" i="13"/>
  <c r="I11" i="13"/>
  <c r="J11" i="13"/>
  <c r="K11" i="13"/>
  <c r="L11" i="13"/>
  <c r="M11" i="13"/>
  <c r="I12" i="13"/>
  <c r="J12" i="13"/>
  <c r="K12" i="13"/>
  <c r="L12" i="13"/>
  <c r="M12" i="13"/>
  <c r="I13" i="13"/>
  <c r="J13" i="13"/>
  <c r="K13" i="13"/>
  <c r="L13" i="13"/>
  <c r="M13" i="13"/>
  <c r="I16" i="8"/>
  <c r="J16" i="8"/>
  <c r="K16" i="8"/>
  <c r="L16" i="8"/>
  <c r="M16" i="8"/>
  <c r="I20" i="8"/>
  <c r="J20" i="8"/>
  <c r="K20" i="8"/>
  <c r="L20" i="8"/>
  <c r="M20" i="8"/>
  <c r="I23" i="8"/>
  <c r="J23" i="8"/>
  <c r="K23" i="8"/>
  <c r="L23" i="8"/>
  <c r="M23" i="8"/>
  <c r="I25" i="8"/>
  <c r="J25" i="8"/>
  <c r="K25" i="8"/>
  <c r="L25" i="8"/>
  <c r="M25" i="8"/>
  <c r="I30" i="8"/>
  <c r="J30" i="8"/>
  <c r="K30" i="8"/>
  <c r="L30" i="8"/>
  <c r="M30" i="8"/>
  <c r="I31" i="8"/>
  <c r="J31" i="8"/>
  <c r="K31" i="8"/>
  <c r="L31" i="8"/>
  <c r="M31" i="8"/>
  <c r="I36" i="8"/>
  <c r="J36" i="8"/>
  <c r="K36" i="8"/>
  <c r="L36" i="8"/>
  <c r="M36" i="8"/>
  <c r="I38" i="8"/>
  <c r="J38" i="8"/>
  <c r="K38" i="8"/>
  <c r="L38" i="8"/>
  <c r="M38" i="8"/>
  <c r="I39" i="8"/>
  <c r="J39" i="8"/>
  <c r="K39" i="8"/>
  <c r="L39" i="8"/>
  <c r="M3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<sst xmlns="http://schemas.openxmlformats.org/spreadsheetml/2006/main" count="1271" uniqueCount="462">
  <si>
    <t>2021A</t>
  </si>
  <si>
    <t>2022A</t>
  </si>
  <si>
    <t>2023A</t>
  </si>
  <si>
    <t>2024A</t>
  </si>
  <si>
    <t>2025A</t>
  </si>
  <si>
    <t>2026F</t>
  </si>
  <si>
    <t>2027F</t>
  </si>
  <si>
    <t>2028F</t>
  </si>
  <si>
    <t>2029F</t>
  </si>
  <si>
    <t>2030F</t>
  </si>
  <si>
    <t>Sale of products</t>
  </si>
  <si>
    <t>Trading of goods</t>
  </si>
  <si>
    <t>Sale of services</t>
  </si>
  <si>
    <t>Export incentive</t>
  </si>
  <si>
    <t>Scrap sales</t>
  </si>
  <si>
    <t>Trial charges</t>
  </si>
  <si>
    <t xml:space="preserve"> Revenue from Operations</t>
  </si>
  <si>
    <t xml:space="preserve">ASSUMPTIONS FOR INCOME STATEMENT </t>
  </si>
  <si>
    <t>RFO</t>
  </si>
  <si>
    <t>Other Income</t>
  </si>
  <si>
    <t>Other Income as % of RFO</t>
  </si>
  <si>
    <t>COGS</t>
  </si>
  <si>
    <t>COGS as % of RFO</t>
  </si>
  <si>
    <t>Employee Benefit Expenses</t>
  </si>
  <si>
    <t>Employee Benefit Expense as % of RFO</t>
  </si>
  <si>
    <t>Other Expenses (Others)</t>
  </si>
  <si>
    <t>Other Expenses (Others) as % of RFO</t>
  </si>
  <si>
    <t>Profit Before Tax</t>
  </si>
  <si>
    <t>Tax Expense (total tax)</t>
  </si>
  <si>
    <t>Tax as % of PBT</t>
  </si>
  <si>
    <t>Profit for the Year (Total)</t>
  </si>
  <si>
    <t xml:space="preserve">ASSUMPTIONS FOR BALANCE SHEET </t>
  </si>
  <si>
    <t>Closing Inventory</t>
  </si>
  <si>
    <t>Closing Receivables.</t>
  </si>
  <si>
    <t>Cl. Payables</t>
  </si>
  <si>
    <t>Cl. ST Provisions</t>
  </si>
  <si>
    <t>Cash Conv. Cycle (Inv Days + Rec Days - Pay Days - ST Prov Days)</t>
  </si>
  <si>
    <t>Other Current Assets</t>
  </si>
  <si>
    <t>Other Current Assets as a % of RFO</t>
  </si>
  <si>
    <t>Other Current Liabilities</t>
  </si>
  <si>
    <t>Other Current Liabilities as a % of RFO</t>
  </si>
  <si>
    <t>Revenue from operations</t>
  </si>
  <si>
    <t>Other income</t>
  </si>
  <si>
    <t>Total Income</t>
  </si>
  <si>
    <t>Cost of material consumed</t>
  </si>
  <si>
    <t>Purchase of stock-in-trade</t>
  </si>
  <si>
    <t>Changes in inventories of finished goods, stock-in-trade and work-in progress</t>
  </si>
  <si>
    <t>Employee benefits expense</t>
  </si>
  <si>
    <t>Finance costs</t>
  </si>
  <si>
    <t>Depreciation and amortisation expenses</t>
  </si>
  <si>
    <t>Manufacturing and operating costs</t>
  </si>
  <si>
    <t>Other expenses</t>
  </si>
  <si>
    <t>Total Expenses</t>
  </si>
  <si>
    <t>Share of loss from associate</t>
  </si>
  <si>
    <t>Profit before tax</t>
  </si>
  <si>
    <t>Current tax</t>
  </si>
  <si>
    <t>Tax under MAT</t>
  </si>
  <si>
    <t>Deferred tax (excluding MAT credit entitlement/ utilisation only In 2024)</t>
  </si>
  <si>
    <t>Tax adjustments pertaining to previous years</t>
  </si>
  <si>
    <t>Total Tax</t>
  </si>
  <si>
    <t>Profit for the year</t>
  </si>
  <si>
    <t>No. of Equity Shares (in crores, FV ₹2 post 1:5 split in FY23)</t>
  </si>
  <si>
    <t xml:space="preserve">Earnings per equity share </t>
  </si>
  <si>
    <t>Particulars (Rs in Crores)</t>
  </si>
  <si>
    <t>Total Depreciation &amp; Amortization</t>
  </si>
  <si>
    <t xml:space="preserve">Depreciation </t>
  </si>
  <si>
    <t>Amortization</t>
  </si>
  <si>
    <t>TANGIBLE FIXED ASSETS</t>
  </si>
  <si>
    <t>Opening PPE &amp; Capital WIP</t>
  </si>
  <si>
    <t>(+)Capex (Net addition)</t>
  </si>
  <si>
    <t>Total Depreciable PPE &amp; WIP</t>
  </si>
  <si>
    <t>(-)Depreciation</t>
  </si>
  <si>
    <t>Closing PPE &amp; Capital WIP</t>
  </si>
  <si>
    <t>Depreciation as % of Total Depreciable TFA</t>
  </si>
  <si>
    <t>Fixed Asset Turnover Ratio (Sales/TDA)</t>
  </si>
  <si>
    <t>INTANGIBLE FIXED ASSETS</t>
  </si>
  <si>
    <t>Opening Intangibles</t>
  </si>
  <si>
    <t>Increase in Intangibles during the Year</t>
  </si>
  <si>
    <t>Total Amortizable Intangibles</t>
  </si>
  <si>
    <t>Closing Intangibles</t>
  </si>
  <si>
    <t>Amortization as % of Total Amortizable ITFA</t>
  </si>
  <si>
    <t>ASSETS</t>
  </si>
  <si>
    <t>Non-current assets</t>
  </si>
  <si>
    <t>Property, plant and equipment</t>
  </si>
  <si>
    <t>Right of use assets</t>
  </si>
  <si>
    <t>Capital work-in-progress</t>
  </si>
  <si>
    <t>Goodwill</t>
  </si>
  <si>
    <t>Other intangible assets</t>
  </si>
  <si>
    <t>Intangible assets under development</t>
  </si>
  <si>
    <t>Financial assets - Investments (Non-current)</t>
  </si>
  <si>
    <t>Financial assets - Loans (Non-current)</t>
  </si>
  <si>
    <t>Financial assets - Other financial assets (Non-current)</t>
  </si>
  <si>
    <t>Deferred tax asset (net)</t>
  </si>
  <si>
    <t>Non-current tax assets (net)</t>
  </si>
  <si>
    <t>Other non-current assets</t>
  </si>
  <si>
    <t>Total non-current assets</t>
  </si>
  <si>
    <t>Current assets</t>
  </si>
  <si>
    <t>Inventories</t>
  </si>
  <si>
    <t>Financial assets - Investments (Current)</t>
  </si>
  <si>
    <t>Trade receivables</t>
  </si>
  <si>
    <t>Cash and cash equivalents</t>
  </si>
  <si>
    <t>Bank balances other than cash and cash equivalents</t>
  </si>
  <si>
    <t>Financial assets - Loans (Current)</t>
  </si>
  <si>
    <t>Financial assets - Other financial assets (Current)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</si>
  <si>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</si>
  <si>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</si>
  <si>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</si>
  <si>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</si>
  <si>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</si>
  <si>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</si>
  <si>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Instrument entirely equity in nature</t>
  </si>
  <si>
    <t>Other equity</t>
  </si>
  <si>
    <t>Total equity</t>
  </si>
  <si>
    <t>Liabilities</t>
  </si>
  <si>
    <t>Non-current liabilities</t>
  </si>
  <si>
    <t>Financial liabilities - Borrowings (Non-current)</t>
  </si>
  <si>
    <t>Lease liabilities (Non-current)</t>
  </si>
  <si>
    <t>Provisions (Non-current)</t>
  </si>
  <si>
    <t>Employee benefits obligation (Non-current)</t>
  </si>
  <si>
    <t>Deferred tax liabilities (net)</t>
  </si>
  <si>
    <t>Other non-current liabilities</t>
  </si>
  <si>
    <t>Total non-current liabilities</t>
  </si>
  <si>
    <t>Current liabilities</t>
  </si>
  <si>
    <t>Financial liabilities - Borrowings (Current)</t>
  </si>
  <si>
    <t>T/P | Outstanding dues of micro enterprises and small enterprises</t>
  </si>
  <si>
    <t xml:space="preserve">T/P | outstanding dues of creditors other than micro enterprise and small enterprise </t>
  </si>
  <si>
    <t>Lease liabilities (Current)</t>
  </si>
  <si>
    <t>Other financial liabilities (Current)</t>
  </si>
  <si>
    <t>Other current liabilities</t>
  </si>
  <si>
    <t>Provisions (Current)</t>
  </si>
  <si>
    <t>Employee benefits obligation (Current)</t>
  </si>
  <si>
    <t>Current tax liabilities (net)</t>
  </si>
  <si>
    <t>Total current liabilities</t>
  </si>
  <si>
    <t>Total liabilities</t>
  </si>
  <si>
    <t>Total equity and liabilities</t>
  </si>
  <si>
    <r>
      <t xml:space="preserve">Inventory Turn Over Ratio </t>
    </r>
    <r>
      <rPr>
        <b/>
        <sz val="12"/>
        <color theme="1"/>
        <rFont val="Calibri"/>
        <family val="2"/>
        <scheme val="minor"/>
      </rPr>
      <t>(COGS/Closing Inventory)</t>
    </r>
  </si>
  <si>
    <r>
      <rPr>
        <sz val="12"/>
        <color theme="1"/>
        <rFont val="Calibri"/>
        <family val="2"/>
      </rPr>
      <t xml:space="preserve">Inventories Days </t>
    </r>
    <r>
      <rPr>
        <b/>
        <sz val="12"/>
        <color theme="1"/>
        <rFont val="Calibri"/>
        <family val="2"/>
      </rPr>
      <t>(Closing Inventory/COGS)*365</t>
    </r>
  </si>
  <si>
    <r>
      <rPr>
        <sz val="12"/>
        <color theme="1"/>
        <rFont val="Calibri"/>
        <family val="2"/>
      </rPr>
      <t xml:space="preserve">Trade Payable Days </t>
    </r>
    <r>
      <rPr>
        <b/>
        <sz val="12"/>
        <color theme="1"/>
        <rFont val="Calibri"/>
        <family val="2"/>
      </rPr>
      <t>(TP/COGS)*365</t>
    </r>
  </si>
  <si>
    <r>
      <rPr>
        <sz val="12"/>
        <color theme="1"/>
        <rFont val="Calibri"/>
        <family val="2"/>
      </rPr>
      <t>Short Term Provision Days</t>
    </r>
    <r>
      <rPr>
        <b/>
        <sz val="12"/>
        <color theme="1"/>
        <rFont val="Calibri"/>
        <family val="2"/>
      </rPr>
      <t>( ST/COGS)*365</t>
    </r>
  </si>
  <si>
    <r>
      <rPr>
        <sz val="12"/>
        <color theme="1"/>
        <rFont val="Calibri"/>
        <family val="2"/>
      </rPr>
      <t>Trade Receivable Days</t>
    </r>
    <r>
      <rPr>
        <b/>
        <sz val="12"/>
        <color theme="1"/>
        <rFont val="Calibri"/>
        <family val="2"/>
      </rPr>
      <t xml:space="preserve"> (TR / RFO) * 365</t>
    </r>
  </si>
  <si>
    <t>Cash Flow  Operating Activities</t>
  </si>
  <si>
    <t>Net Profit (Consolidated)</t>
  </si>
  <si>
    <t>Add Depreciation &amp; Amortization</t>
  </si>
  <si>
    <t>Cash Flow From Operating Activities</t>
  </si>
  <si>
    <t>Cash Flow Investing  Activities</t>
  </si>
  <si>
    <t>Cash Flow from Investing  Activities</t>
  </si>
  <si>
    <t>Cash Flow Financing  Activities</t>
  </si>
  <si>
    <t>Finance Cost</t>
  </si>
  <si>
    <t>Cash Flow from Financing  Activities</t>
  </si>
  <si>
    <t>Net Changes in Cash (CFO+CFI+CFF)</t>
  </si>
  <si>
    <t>Add Opening Cash</t>
  </si>
  <si>
    <t xml:space="preserve">Closing Cash Balance </t>
  </si>
  <si>
    <t>Net Working Capital Schedule (Method 2)</t>
  </si>
  <si>
    <t>Current Assets (Inventories +Receivables + OCA)</t>
  </si>
  <si>
    <t>Current Liabilities (Payables+ST Prov. + OCL)</t>
  </si>
  <si>
    <t>Net Working Capital (CA-CL)</t>
  </si>
  <si>
    <t>Change in NWC (CY-PY)</t>
  </si>
  <si>
    <t>Change in Cash due to Change in Net Working Capital</t>
  </si>
  <si>
    <t>Capex ( Capex - I in tangilbes )</t>
  </si>
  <si>
    <t>Checksum</t>
  </si>
  <si>
    <t>By : Rahul B</t>
  </si>
  <si>
    <t>Batch 9</t>
  </si>
  <si>
    <t>Short term debt</t>
  </si>
  <si>
    <t>Long term debt</t>
  </si>
  <si>
    <t>Total Debt</t>
  </si>
  <si>
    <t>Interest Rate (Finance Cost as % of Total Debt)</t>
  </si>
  <si>
    <t>Dividend Paid back</t>
  </si>
  <si>
    <r>
      <t xml:space="preserve">ST % = 236.78 / 855 ≈ </t>
    </r>
    <r>
      <rPr>
        <b/>
        <sz val="11"/>
        <color theme="1"/>
        <rFont val="Calibri"/>
        <family val="2"/>
        <scheme val="minor"/>
      </rPr>
      <t>28%</t>
    </r>
  </si>
  <si>
    <r>
      <t xml:space="preserve">LT % = 619 / 855 ≈ </t>
    </r>
    <r>
      <rPr>
        <b/>
        <sz val="11"/>
        <color theme="1"/>
        <rFont val="Calibri"/>
        <family val="2"/>
        <scheme val="minor"/>
      </rPr>
      <t>72%</t>
    </r>
  </si>
  <si>
    <t>Previous Year  =</t>
  </si>
  <si>
    <t>Total Debt (t) = Assets − (Equity + Non-debt liabilities)</t>
  </si>
  <si>
    <t>Average Debt</t>
  </si>
  <si>
    <t>Change in NWC</t>
  </si>
  <si>
    <r>
      <rPr>
        <b/>
        <sz val="12"/>
        <color rgb="FF000000"/>
        <rFont val="Calibri"/>
        <family val="2"/>
        <scheme val="minor"/>
      </rPr>
      <t>Ftr</t>
    </r>
    <r>
      <rPr>
        <sz val="12"/>
        <color rgb="FF000000"/>
        <rFont val="Calibri"/>
        <family val="2"/>
        <scheme val="minor"/>
      </rPr>
      <t xml:space="preserve"> = Sales/total depreciable assets</t>
    </r>
  </si>
  <si>
    <r>
      <rPr>
        <b/>
        <sz val="12"/>
        <color rgb="FF000000"/>
        <rFont val="Calibri"/>
        <family val="2"/>
        <scheme val="minor"/>
      </rPr>
      <t>Total depreciable assets</t>
    </r>
    <r>
      <rPr>
        <sz val="12"/>
        <color rgb="FF000000"/>
        <rFont val="Calibri"/>
        <family val="2"/>
        <scheme val="minor"/>
      </rPr>
      <t xml:space="preserve"> = Sales/ftr</t>
    </r>
  </si>
  <si>
    <t>COMPS OF HINDUSTAN FOODS</t>
  </si>
  <si>
    <t>DEBT%</t>
  </si>
  <si>
    <t>EQUITY%</t>
  </si>
  <si>
    <t>DEBT</t>
  </si>
  <si>
    <t>EQUITY</t>
  </si>
  <si>
    <t xml:space="preserve">Net Borrowing </t>
  </si>
  <si>
    <t>Net Borrowing (Plug to maintain Target Cash = 4% of Revenue)</t>
  </si>
  <si>
    <r>
      <t xml:space="preserve">Pre Financing Cash </t>
    </r>
    <r>
      <rPr>
        <sz val="11"/>
        <color theme="1"/>
        <rFont val="Calibri"/>
        <family val="2"/>
        <scheme val="minor"/>
      </rPr>
      <t>( Opening Cash+CFO+CFI )</t>
    </r>
  </si>
  <si>
    <t>CCL Products (India) Ltd</t>
  </si>
  <si>
    <t>Mrs Bectors Food Specialities Ltd</t>
  </si>
  <si>
    <t>Avanti Feeds</t>
  </si>
  <si>
    <t>Tasty Bite Eatables</t>
  </si>
  <si>
    <t>Zydus Wellness Ltd</t>
  </si>
  <si>
    <t>Target Capital Structure</t>
  </si>
  <si>
    <t>5th May</t>
  </si>
  <si>
    <t>Particulars</t>
  </si>
  <si>
    <t>Notes</t>
  </si>
  <si>
    <t>Value</t>
  </si>
  <si>
    <t>Debt Borrowing Rate (%)</t>
  </si>
  <si>
    <t>Income Tax Rate (%)</t>
  </si>
  <si>
    <t>After-tax Cost of Debt (%)</t>
  </si>
  <si>
    <t>Cost of Debt (using historical Wgted Avg Interest Rate)</t>
  </si>
  <si>
    <t>TAX RATE</t>
  </si>
  <si>
    <t>Wd*kd *(1-tax)+we*ke</t>
  </si>
  <si>
    <t>COD =</t>
  </si>
  <si>
    <t>Cost of debt (using Synthetic Rating Method)</t>
  </si>
  <si>
    <t>Synthetic Rating</t>
  </si>
  <si>
    <t>Credit Spread</t>
  </si>
  <si>
    <t>Risk-free Rate</t>
  </si>
  <si>
    <t>Government Bond Deal</t>
  </si>
  <si>
    <t>Interest Coverage Ratio</t>
  </si>
  <si>
    <t xml:space="preserve"> Interest Coverage Ratio</t>
  </si>
  <si>
    <r>
      <t>Base case:</t>
    </r>
    <r>
      <rPr>
        <sz val="11"/>
        <color theme="1"/>
        <rFont val="Calibri"/>
        <family val="2"/>
        <scheme val="minor"/>
      </rPr>
      <t xml:space="preserve"> A2 / A → </t>
    </r>
    <r>
      <rPr>
        <b/>
        <sz val="11"/>
        <color theme="1"/>
        <rFont val="Calibri"/>
        <family val="2"/>
        <scheme val="minor"/>
      </rPr>
      <t>0.78%</t>
    </r>
  </si>
  <si>
    <r>
      <t>Safer assumption:</t>
    </r>
    <r>
      <rPr>
        <sz val="11"/>
        <color theme="1"/>
        <rFont val="Calibri"/>
        <family val="2"/>
        <scheme val="minor"/>
      </rPr>
      <t xml:space="preserve"> A3 / A- → </t>
    </r>
    <r>
      <rPr>
        <b/>
        <sz val="11"/>
        <color theme="1"/>
        <rFont val="Calibri"/>
        <family val="2"/>
        <scheme val="minor"/>
      </rPr>
      <t>0.89%</t>
    </r>
  </si>
  <si>
    <t>A3/A-</t>
  </si>
  <si>
    <t>Country Default Spreads and Risk Premiums</t>
  </si>
  <si>
    <t>ERP(HISTORICAL)</t>
  </si>
  <si>
    <t>ERP(RATING BASED)</t>
  </si>
  <si>
    <t>REGRESSION BETA</t>
  </si>
  <si>
    <t>COST OF EQUITY</t>
  </si>
  <si>
    <t>BOTTOM UP BETA</t>
  </si>
  <si>
    <t>WACC (REGRESSION)</t>
  </si>
  <si>
    <t>Date</t>
  </si>
  <si>
    <t>Price</t>
  </si>
  <si>
    <t>Return</t>
  </si>
  <si>
    <t>NIFTY 50</t>
  </si>
  <si>
    <t>CAGR</t>
  </si>
  <si>
    <t>03/30/2025</t>
  </si>
  <si>
    <t>03/23/2025</t>
  </si>
  <si>
    <t>03/16/2025</t>
  </si>
  <si>
    <t>02/23/2025</t>
  </si>
  <si>
    <t>02/16/2025</t>
  </si>
  <si>
    <t>01/26/2025</t>
  </si>
  <si>
    <t>01/19/2025</t>
  </si>
  <si>
    <t>12/29/2024</t>
  </si>
  <si>
    <t>12/22/2024</t>
  </si>
  <si>
    <t>12/15/2024</t>
  </si>
  <si>
    <t>11/24/2024</t>
  </si>
  <si>
    <t>11/17/2024</t>
  </si>
  <si>
    <t>10/27/2024</t>
  </si>
  <si>
    <t>10/20/2024</t>
  </si>
  <si>
    <t>10/13/2024</t>
  </si>
  <si>
    <t>09/29/2024</t>
  </si>
  <si>
    <t>09/22/2024</t>
  </si>
  <si>
    <t>09/15/2024</t>
  </si>
  <si>
    <t>08/25/2024</t>
  </si>
  <si>
    <t>08/18/2024</t>
  </si>
  <si>
    <t>07/28/2024</t>
  </si>
  <si>
    <t>07/21/2024</t>
  </si>
  <si>
    <t>07/14/2024</t>
  </si>
  <si>
    <t>06/30/2024</t>
  </si>
  <si>
    <t>06/23/2024</t>
  </si>
  <si>
    <t>06/16/2024</t>
  </si>
  <si>
    <t>05/26/2024</t>
  </si>
  <si>
    <t>05/19/2024</t>
  </si>
  <si>
    <t>04/28/2024</t>
  </si>
  <si>
    <t>04/21/2024</t>
  </si>
  <si>
    <t>04/14/2024</t>
  </si>
  <si>
    <t>03/31/2024</t>
  </si>
  <si>
    <t>03/24/2024</t>
  </si>
  <si>
    <t>03/17/2024</t>
  </si>
  <si>
    <t>02/25/2024</t>
  </si>
  <si>
    <t>02/18/2024</t>
  </si>
  <si>
    <t>01/28/2024</t>
  </si>
  <si>
    <t>01/21/2024</t>
  </si>
  <si>
    <t>01/14/2024</t>
  </si>
  <si>
    <t>12/31/2023</t>
  </si>
  <si>
    <t>12/24/2023</t>
  </si>
  <si>
    <t>12/17/2023</t>
  </si>
  <si>
    <t>11/26/2023</t>
  </si>
  <si>
    <t>11/19/2023</t>
  </si>
  <si>
    <t>10/29/2023</t>
  </si>
  <si>
    <t>10/22/2023</t>
  </si>
  <si>
    <t>10/15/2023</t>
  </si>
  <si>
    <t>09/24/2023</t>
  </si>
  <si>
    <t>09/17/2023</t>
  </si>
  <si>
    <t>08/27/2023</t>
  </si>
  <si>
    <t>08/20/2023</t>
  </si>
  <si>
    <t>08/13/2023</t>
  </si>
  <si>
    <t>07/30/2023</t>
  </si>
  <si>
    <t>07/23/2023</t>
  </si>
  <si>
    <t>07/16/2023</t>
  </si>
  <si>
    <t>06/25/2023</t>
  </si>
  <si>
    <t>06/18/2023</t>
  </si>
  <si>
    <t>05/28/2023</t>
  </si>
  <si>
    <t>05/21/2023</t>
  </si>
  <si>
    <t>05/14/2023</t>
  </si>
  <si>
    <t>04/30/2023</t>
  </si>
  <si>
    <t>04/23/2023</t>
  </si>
  <si>
    <t>04/16/2023</t>
  </si>
  <si>
    <t>03/26/2023</t>
  </si>
  <si>
    <t>03/19/2023</t>
  </si>
  <si>
    <t>02/26/2023</t>
  </si>
  <si>
    <t>02/19/2023</t>
  </si>
  <si>
    <t>01/29/2023</t>
  </si>
  <si>
    <t>01/22/2023</t>
  </si>
  <si>
    <t>01/15/2023</t>
  </si>
  <si>
    <t>12/25/2022</t>
  </si>
  <si>
    <t>12/18/2022</t>
  </si>
  <si>
    <t>11/27/2022</t>
  </si>
  <si>
    <t>11/20/2022</t>
  </si>
  <si>
    <t>11/13/2022</t>
  </si>
  <si>
    <t>10/30/2022</t>
  </si>
  <si>
    <t>10/23/2022</t>
  </si>
  <si>
    <t>10/16/2022</t>
  </si>
  <si>
    <t>09/25/2022</t>
  </si>
  <si>
    <t>09/18/2022</t>
  </si>
  <si>
    <t>08/28/2022</t>
  </si>
  <si>
    <t>08/21/2022</t>
  </si>
  <si>
    <t>08/14/2022</t>
  </si>
  <si>
    <t>07/31/2022</t>
  </si>
  <si>
    <t>07/24/2022</t>
  </si>
  <si>
    <t>07/17/2022</t>
  </si>
  <si>
    <t>06/26/2022</t>
  </si>
  <si>
    <t>06/19/2022</t>
  </si>
  <si>
    <t>05/29/2022</t>
  </si>
  <si>
    <t>05/22/2022</t>
  </si>
  <si>
    <t>05/15/2022</t>
  </si>
  <si>
    <t>04/24/2022</t>
  </si>
  <si>
    <t>04/17/2022</t>
  </si>
  <si>
    <t>03/27/2022</t>
  </si>
  <si>
    <t>03/20/2022</t>
  </si>
  <si>
    <t>03/13/2022</t>
  </si>
  <si>
    <t>02/27/2022</t>
  </si>
  <si>
    <t>02/20/2022</t>
  </si>
  <si>
    <t>02/13/2022</t>
  </si>
  <si>
    <t>01/30/2022</t>
  </si>
  <si>
    <t>01/23/2022</t>
  </si>
  <si>
    <t>01/16/2022</t>
  </si>
  <si>
    <t>12/26/2021</t>
  </si>
  <si>
    <t>12/19/2021</t>
  </si>
  <si>
    <t>11/28/2021</t>
  </si>
  <si>
    <t>11/21/2021</t>
  </si>
  <si>
    <t>11/14/2021</t>
  </si>
  <si>
    <t>10/31/2021</t>
  </si>
  <si>
    <t>10/24/2021</t>
  </si>
  <si>
    <t>10/17/2021</t>
  </si>
  <si>
    <t>09/26/2021</t>
  </si>
  <si>
    <t>09/19/2021</t>
  </si>
  <si>
    <t>08/29/2021</t>
  </si>
  <si>
    <t>08/22/2021</t>
  </si>
  <si>
    <t>08/15/2021</t>
  </si>
  <si>
    <t>07/25/2021</t>
  </si>
  <si>
    <t>07/18/2021</t>
  </si>
  <si>
    <t>06/27/2021</t>
  </si>
  <si>
    <t>06/20/2021</t>
  </si>
  <si>
    <t>06/13/2021</t>
  </si>
  <si>
    <t>05/30/2021</t>
  </si>
  <si>
    <t>05/23/2021</t>
  </si>
  <si>
    <t>05/16/2021</t>
  </si>
  <si>
    <t>04/25/2021</t>
  </si>
  <si>
    <t>04/18/2021</t>
  </si>
  <si>
    <t>Hindustan Foods Ltd</t>
  </si>
  <si>
    <t>RRI</t>
  </si>
  <si>
    <t>RFR</t>
  </si>
  <si>
    <t>ERP</t>
  </si>
  <si>
    <t>DFL</t>
  </si>
  <si>
    <t>UNLIVER</t>
  </si>
  <si>
    <t>Equity %</t>
  </si>
  <si>
    <t>Debt %</t>
  </si>
  <si>
    <t>CY =</t>
  </si>
  <si>
    <t>WACC (BOTTOM UP)</t>
  </si>
  <si>
    <t>WEIGHT OF EQUITY</t>
  </si>
  <si>
    <t>COST OF DEBT</t>
  </si>
  <si>
    <t>WEIGHT OF DEBT</t>
  </si>
  <si>
    <t>WACC</t>
  </si>
  <si>
    <t>Valuation Date</t>
  </si>
  <si>
    <t>First projection date</t>
  </si>
  <si>
    <t>EBIT</t>
  </si>
  <si>
    <t>NOPAT</t>
  </si>
  <si>
    <t>(+) D&amp;A</t>
  </si>
  <si>
    <t>(-)CAPEX</t>
  </si>
  <si>
    <t>FCFF</t>
  </si>
  <si>
    <t>EXPLICIT FCFF</t>
  </si>
  <si>
    <t>DISCOUNT FACTOR</t>
  </si>
  <si>
    <t>=</t>
  </si>
  <si>
    <t xml:space="preserve"> </t>
  </si>
  <si>
    <t>ROE</t>
  </si>
  <si>
    <t>RETENTION RATIO</t>
  </si>
  <si>
    <t>1 - ( 0 ) =</t>
  </si>
  <si>
    <t>GGM</t>
  </si>
  <si>
    <t>EBITDA</t>
  </si>
  <si>
    <t>EV/EBITDA</t>
  </si>
  <si>
    <t>EV</t>
  </si>
  <si>
    <t>Long term GDP</t>
  </si>
  <si>
    <t>EXIT MULTIPLE</t>
  </si>
  <si>
    <t>TERMINAL VALUE</t>
  </si>
  <si>
    <t>PV OF TV</t>
  </si>
  <si>
    <t>PV OF TV =</t>
  </si>
  <si>
    <t>OPERATING EV</t>
  </si>
  <si>
    <t>NON OPERATING ASSETS</t>
  </si>
  <si>
    <t>MV</t>
  </si>
  <si>
    <t>MV/OUT SHARES</t>
  </si>
  <si>
    <t>DCF VALUE</t>
  </si>
  <si>
    <t>(-)NCWC</t>
  </si>
  <si>
    <t xml:space="preserve">Terminal Year Normalisation </t>
  </si>
  <si>
    <t>Year</t>
  </si>
  <si>
    <t>Avg cap invested</t>
  </si>
  <si>
    <t>ROIC -</t>
  </si>
  <si>
    <t>Reinvestment Rate = g/roic</t>
  </si>
  <si>
    <t>Terminal Reinvestment</t>
  </si>
  <si>
    <t>Terminal FCFF</t>
  </si>
  <si>
    <t>FCFFₙ₊₁</t>
  </si>
  <si>
    <r>
      <t xml:space="preserve">WACC - </t>
    </r>
    <r>
      <rPr>
        <i/>
        <sz val="11"/>
        <color theme="1"/>
        <rFont val="Calibri"/>
        <family val="2"/>
        <scheme val="minor"/>
      </rPr>
      <t>g</t>
    </r>
  </si>
  <si>
    <t xml:space="preserve">TV </t>
  </si>
  <si>
    <t>Total EV</t>
  </si>
  <si>
    <t>Gordon Growth Method</t>
  </si>
  <si>
    <t>SENSITIVITY ANALYSIS</t>
  </si>
  <si>
    <t>Exit Multiple Method</t>
  </si>
  <si>
    <t>Capitalization</t>
  </si>
  <si>
    <t>Financial Data</t>
  </si>
  <si>
    <t>Valuation</t>
  </si>
  <si>
    <t>Market Price per Share</t>
  </si>
  <si>
    <t>No. of Outstanding Shares</t>
  </si>
  <si>
    <t>Equity Value</t>
  </si>
  <si>
    <t>Cash</t>
  </si>
  <si>
    <t>Debt</t>
  </si>
  <si>
    <t>Preferred Stock</t>
  </si>
  <si>
    <t>Non Controlling Interest</t>
  </si>
  <si>
    <t>Enterprise  Value</t>
  </si>
  <si>
    <t>Sales</t>
  </si>
  <si>
    <t>Earnings</t>
  </si>
  <si>
    <t>Earnings per Share</t>
  </si>
  <si>
    <t>EV/Sales</t>
  </si>
  <si>
    <t>EV/EBIT</t>
  </si>
  <si>
    <t>P/E</t>
  </si>
  <si>
    <t>Company Name</t>
  </si>
  <si>
    <t xml:space="preserve">₹ </t>
  </si>
  <si>
    <t>₹ In Lakhs</t>
  </si>
  <si>
    <t>(MPS/EPS)</t>
  </si>
  <si>
    <t>Maximum</t>
  </si>
  <si>
    <t>Median</t>
  </si>
  <si>
    <t>Average</t>
  </si>
  <si>
    <t>75th Percentile</t>
  </si>
  <si>
    <t>25th Percentile</t>
  </si>
  <si>
    <t>Minimum</t>
  </si>
  <si>
    <t>Year 2026</t>
  </si>
  <si>
    <t>Valuation Summary</t>
  </si>
  <si>
    <t>Implied Enterprise Value</t>
  </si>
  <si>
    <t>Net Debt</t>
  </si>
  <si>
    <t>Implied Market Value</t>
  </si>
  <si>
    <t>Shares Outstanding</t>
  </si>
  <si>
    <t>Implied Value per share</t>
  </si>
  <si>
    <t>AVERAGE</t>
  </si>
  <si>
    <t>MEDIAN</t>
  </si>
  <si>
    <t>Method</t>
  </si>
  <si>
    <t>Lower</t>
  </si>
  <si>
    <t>Difference</t>
  </si>
  <si>
    <t>Higher</t>
  </si>
  <si>
    <t>Unaffected Price</t>
  </si>
  <si>
    <t>Final range</t>
  </si>
  <si>
    <t>Perpetual Growth</t>
  </si>
  <si>
    <t>CCA</t>
  </si>
  <si>
    <t>52 week range</t>
  </si>
  <si>
    <t>Range as per EV/Sales</t>
  </si>
  <si>
    <t>Range as per EV/EBITDA</t>
  </si>
  <si>
    <t>Range as per EV/EBIT</t>
  </si>
  <si>
    <t>Range as per P/E</t>
  </si>
  <si>
    <t>Range</t>
  </si>
  <si>
    <t>Price range</t>
  </si>
  <si>
    <t xml:space="preserve">Lower </t>
  </si>
  <si>
    <t>DCF</t>
  </si>
  <si>
    <t>Exit Multiple</t>
  </si>
  <si>
    <t>(Comparable Company Analysis)</t>
  </si>
  <si>
    <t>Market Consensus</t>
  </si>
  <si>
    <t>52 week range for Hindustan Foods Ltd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</si>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</sst>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_);_(* \(#,##0\);_(* &quot;-&quot;??_);_(@_)"/>
    <numFmt numFmtId="165" formatCode="0.0%"/>
    <numFmt numFmtId="166" formatCode="_([$€-2]* #,##0.00_);_([$€-2]* \(#,##0.00\);_([$€-2]* &quot;-&quot;??_)"/>
    <numFmt numFmtId="167" formatCode="#,##0;\(#,##0\);&quot;-&quot;"/>
    <numFmt numFmtId="168" formatCode="0.0000"/>
    <numFmt numFmtId="169" formatCode="0.00;\(0.00\)"/>
    <numFmt numFmtId="170" formatCode="_(* #,##0.00_);_(* \(#,##0.00\);_(* &quot;-&quot;??_);_(@_)"/>
    <numFmt numFmtId="171" formatCode="_ * #,##0_ ;_ * \-#,##0_ ;_ * &quot;-&quot;??_ ;_ @_ "/>
    <numFmt numFmtId="172" formatCode="0.00\x"/>
  </numFmts>
  <fonts count="39">
    <font>
      <sz val="11"/>
      <color theme="1"/>
      <name val="Calibri"/>
      <family val="2"/>
      <scheme val="minor"/>
    </font>
    <font>
      <sz val="12"/>
      <name val="SWISS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indexed="25"/>
      <name val="Arial Narrow"/>
      <family val="2"/>
    </font>
    <font>
      <sz val="10"/>
      <color indexed="25"/>
      <name val="Arial Narrow"/>
      <family val="2"/>
    </font>
    <font>
      <sz val="10"/>
      <name val="Arial Narrow"/>
      <family val="2"/>
    </font>
    <font>
      <u/>
      <sz val="11"/>
      <color theme="10"/>
      <name val="Calibri"/>
      <family val="2"/>
      <scheme val="minor"/>
    </font>
    <font>
      <sz val="11"/>
      <color rgb="FF0275D8"/>
      <name val="Calibri"/>
      <family val="2"/>
      <scheme val="minor"/>
    </font>
    <font>
      <u/>
      <sz val="11"/>
      <color rgb="FF0275D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mbria"/>
      <family val="2"/>
      <scheme val="major"/>
    </font>
    <font>
      <b/>
      <sz val="11"/>
      <color theme="0"/>
      <name val="Cambria"/>
      <family val="2"/>
      <scheme val="major"/>
    </font>
    <font>
      <sz val="11"/>
      <name val="Cambria"/>
      <family val="2"/>
      <scheme val="major"/>
    </font>
    <font>
      <sz val="10"/>
      <color theme="1"/>
      <name val="Calibri body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37" fontId="1" fillId="0" borderId="0"/>
    <xf numFmtId="9" fontId="10" fillId="0" borderId="0" applyFont="0" applyFill="0" applyBorder="0" applyAlignment="0" applyProtection="0"/>
    <xf numFmtId="0" fontId="19" fillId="0" borderId="9">
      <alignment horizontal="right" wrapText="1"/>
    </xf>
    <xf numFmtId="167" fontId="20" fillId="0" borderId="9">
      <alignment horizontal="center"/>
    </xf>
    <xf numFmtId="0" fontId="21" fillId="0" borderId="0" applyFill="0" applyBorder="0">
      <alignment horizontal="left" vertical="top" wrapText="1"/>
    </xf>
    <xf numFmtId="0" fontId="22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36" fillId="0" borderId="0"/>
  </cellStyleXfs>
  <cellXfs count="35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4" fontId="4" fillId="0" borderId="1" xfId="0" applyNumberFormat="1" applyFont="1" applyBorder="1"/>
    <xf numFmtId="0" fontId="3" fillId="0" borderId="1" xfId="0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10" fontId="4" fillId="0" borderId="1" xfId="0" applyNumberFormat="1" applyFont="1" applyBorder="1"/>
    <xf numFmtId="4" fontId="4" fillId="2" borderId="1" xfId="0" applyNumberFormat="1" applyFont="1" applyFill="1" applyBorder="1" applyAlignment="1">
      <alignment horizontal="right"/>
    </xf>
    <xf numFmtId="165" fontId="4" fillId="0" borderId="1" xfId="0" applyNumberFormat="1" applyFont="1" applyBorder="1"/>
    <xf numFmtId="165" fontId="4" fillId="5" borderId="1" xfId="0" applyNumberFormat="1" applyFont="1" applyFill="1" applyBorder="1"/>
    <xf numFmtId="10" fontId="4" fillId="5" borderId="1" xfId="0" applyNumberFormat="1" applyFont="1" applyFill="1" applyBorder="1"/>
    <xf numFmtId="9" fontId="4" fillId="0" borderId="1" xfId="0" applyNumberFormat="1" applyFont="1" applyBorder="1"/>
    <xf numFmtId="10" fontId="4" fillId="4" borderId="1" xfId="0" applyNumberFormat="1" applyFont="1" applyFill="1" applyBorder="1"/>
    <xf numFmtId="10" fontId="4" fillId="2" borderId="1" xfId="0" applyNumberFormat="1" applyFont="1" applyFill="1" applyBorder="1"/>
    <xf numFmtId="37" fontId="2" fillId="0" borderId="1" xfId="1" applyFont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 applyAlignment="1">
      <alignment horizontal="center"/>
    </xf>
    <xf numFmtId="4" fontId="4" fillId="0" borderId="6" xfId="0" applyNumberFormat="1" applyFont="1" applyBorder="1"/>
    <xf numFmtId="37" fontId="5" fillId="0" borderId="1" xfId="1" applyFont="1" applyBorder="1"/>
    <xf numFmtId="37" fontId="5" fillId="0" borderId="1" xfId="1" applyFont="1" applyBorder="1" applyAlignment="1">
      <alignment horizontal="left" indent="2"/>
    </xf>
    <xf numFmtId="0" fontId="3" fillId="2" borderId="1" xfId="0" applyFont="1" applyFill="1" applyBorder="1" applyAlignment="1">
      <alignment horizontal="center"/>
    </xf>
    <xf numFmtId="37" fontId="5" fillId="2" borderId="0" xfId="1" applyFont="1" applyFill="1" applyAlignment="1">
      <alignment vertical="center"/>
    </xf>
    <xf numFmtId="2" fontId="4" fillId="2" borderId="1" xfId="0" applyNumberFormat="1" applyFont="1" applyFill="1" applyBorder="1"/>
    <xf numFmtId="1" fontId="3" fillId="0" borderId="1" xfId="0" applyNumberFormat="1" applyFont="1" applyBorder="1"/>
    <xf numFmtId="2" fontId="3" fillId="0" borderId="1" xfId="0" applyNumberFormat="1" applyFont="1" applyBorder="1"/>
    <xf numFmtId="1" fontId="4" fillId="5" borderId="0" xfId="0" applyNumberFormat="1" applyFont="1" applyFill="1"/>
    <xf numFmtId="1" fontId="4" fillId="5" borderId="1" xfId="0" applyNumberFormat="1" applyFont="1" applyFill="1" applyBorder="1"/>
    <xf numFmtId="2" fontId="4" fillId="5" borderId="1" xfId="0" applyNumberFormat="1" applyFont="1" applyFill="1" applyBorder="1"/>
    <xf numFmtId="37" fontId="2" fillId="0" borderId="1" xfId="1" applyFont="1" applyBorder="1" applyAlignment="1">
      <alignment horizontal="center"/>
    </xf>
    <xf numFmtId="0" fontId="4" fillId="2" borderId="1" xfId="0" applyFont="1" applyFill="1" applyBorder="1"/>
    <xf numFmtId="164" fontId="5" fillId="2" borderId="1" xfId="1" applyNumberFormat="1" applyFont="1" applyFill="1" applyBorder="1" applyAlignment="1">
      <alignment vertical="center"/>
    </xf>
    <xf numFmtId="1" fontId="4" fillId="2" borderId="1" xfId="0" applyNumberFormat="1" applyFont="1" applyFill="1" applyBorder="1"/>
    <xf numFmtId="1" fontId="3" fillId="2" borderId="1" xfId="0" applyNumberFormat="1" applyFont="1" applyFill="1" applyBorder="1"/>
    <xf numFmtId="164" fontId="2" fillId="2" borderId="1" xfId="1" applyNumberFormat="1" applyFont="1" applyFill="1" applyBorder="1" applyAlignment="1">
      <alignment vertical="center"/>
    </xf>
    <xf numFmtId="164" fontId="3" fillId="0" borderId="1" xfId="1" applyNumberFormat="1" applyFont="1" applyBorder="1"/>
    <xf numFmtId="4" fontId="4" fillId="0" borderId="0" xfId="0" applyNumberFormat="1" applyFont="1"/>
    <xf numFmtId="0" fontId="4" fillId="2" borderId="0" xfId="0" applyFont="1" applyFill="1"/>
    <xf numFmtId="2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37" fontId="2" fillId="0" borderId="1" xfId="1" applyFont="1" applyBorder="1" applyAlignment="1">
      <alignment horizontal="left"/>
    </xf>
    <xf numFmtId="165" fontId="5" fillId="0" borderId="1" xfId="1" applyNumberFormat="1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40" fontId="8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4" fontId="3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/>
    <xf numFmtId="37" fontId="2" fillId="2" borderId="1" xfId="1" applyFont="1" applyFill="1" applyBorder="1" applyAlignment="1">
      <alignment horizontal="center"/>
    </xf>
    <xf numFmtId="0" fontId="0" fillId="2" borderId="0" xfId="0" applyFill="1"/>
    <xf numFmtId="164" fontId="2" fillId="0" borderId="3" xfId="1" applyNumberFormat="1" applyFont="1" applyBorder="1" applyAlignment="1">
      <alignment horizontal="center"/>
    </xf>
    <xf numFmtId="4" fontId="4" fillId="2" borderId="3" xfId="0" applyNumberFormat="1" applyFont="1" applyFill="1" applyBorder="1" applyAlignment="1">
      <alignment horizontal="right"/>
    </xf>
    <xf numFmtId="4" fontId="4" fillId="0" borderId="3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4" fillId="0" borderId="6" xfId="0" applyNumberFormat="1" applyFont="1" applyBorder="1"/>
    <xf numFmtId="0" fontId="4" fillId="0" borderId="6" xfId="0" applyFont="1" applyBorder="1"/>
    <xf numFmtId="0" fontId="3" fillId="0" borderId="0" xfId="0" applyFont="1" applyAlignment="1">
      <alignment horizontal="center"/>
    </xf>
    <xf numFmtId="2" fontId="3" fillId="0" borderId="0" xfId="0" applyNumberFormat="1" applyFont="1"/>
    <xf numFmtId="37" fontId="2" fillId="0" borderId="1" xfId="1" applyFont="1" applyBorder="1"/>
    <xf numFmtId="10" fontId="2" fillId="0" borderId="1" xfId="1" applyNumberFormat="1" applyFont="1" applyBorder="1" applyAlignment="1">
      <alignment horizontal="center"/>
    </xf>
    <xf numFmtId="164" fontId="5" fillId="0" borderId="1" xfId="1" applyNumberFormat="1" applyFont="1" applyBorder="1"/>
    <xf numFmtId="166" fontId="2" fillId="0" borderId="1" xfId="1" applyNumberFormat="1" applyFont="1" applyBorder="1" applyAlignment="1">
      <alignment vertical="center"/>
    </xf>
    <xf numFmtId="40" fontId="11" fillId="0" borderId="1" xfId="0" applyNumberFormat="1" applyFont="1" applyBorder="1" applyAlignment="1">
      <alignment horizontal="left"/>
    </xf>
    <xf numFmtId="2" fontId="5" fillId="0" borderId="1" xfId="1" applyNumberFormat="1" applyFont="1" applyBorder="1" applyAlignment="1">
      <alignment horizontal="left" vertical="center"/>
    </xf>
    <xf numFmtId="40" fontId="12" fillId="0" borderId="1" xfId="0" applyNumberFormat="1" applyFont="1" applyBorder="1" applyAlignment="1">
      <alignment horizontal="left"/>
    </xf>
    <xf numFmtId="37" fontId="5" fillId="0" borderId="1" xfId="1" applyFont="1" applyBorder="1" applyAlignment="1">
      <alignment horizontal="left" vertical="center"/>
    </xf>
    <xf numFmtId="2" fontId="4" fillId="6" borderId="1" xfId="0" applyNumberFormat="1" applyFont="1" applyFill="1" applyBorder="1"/>
    <xf numFmtId="10" fontId="4" fillId="6" borderId="1" xfId="0" applyNumberFormat="1" applyFont="1" applyFill="1" applyBorder="1"/>
    <xf numFmtId="1" fontId="4" fillId="6" borderId="1" xfId="0" applyNumberFormat="1" applyFont="1" applyFill="1" applyBorder="1"/>
    <xf numFmtId="37" fontId="5" fillId="0" borderId="0" xfId="1" applyFont="1" applyAlignment="1">
      <alignment vertical="center"/>
    </xf>
    <xf numFmtId="0" fontId="14" fillId="0" borderId="0" xfId="0" applyFont="1"/>
    <xf numFmtId="0" fontId="9" fillId="0" borderId="1" xfId="0" applyFont="1" applyBorder="1"/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10" fontId="0" fillId="2" borderId="0" xfId="0" applyNumberFormat="1" applyFill="1"/>
    <xf numFmtId="1" fontId="5" fillId="2" borderId="1" xfId="1" applyNumberFormat="1" applyFont="1" applyFill="1" applyBorder="1" applyAlignment="1">
      <alignment vertical="center"/>
    </xf>
    <xf numFmtId="1" fontId="2" fillId="2" borderId="1" xfId="1" applyNumberFormat="1" applyFont="1" applyFill="1" applyBorder="1" applyAlignment="1">
      <alignment vertical="center"/>
    </xf>
    <xf numFmtId="1" fontId="2" fillId="6" borderId="1" xfId="1" applyNumberFormat="1" applyFont="1" applyFill="1" applyBorder="1" applyAlignment="1">
      <alignment vertical="center"/>
    </xf>
    <xf numFmtId="9" fontId="3" fillId="6" borderId="1" xfId="2" applyFont="1" applyFill="1" applyBorder="1"/>
    <xf numFmtId="9" fontId="5" fillId="2" borderId="1" xfId="2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2" fontId="2" fillId="0" borderId="1" xfId="1" applyNumberFormat="1" applyFont="1" applyBorder="1" applyAlignment="1">
      <alignment horizontal="left" vertical="center"/>
    </xf>
    <xf numFmtId="9" fontId="3" fillId="2" borderId="1" xfId="2" applyFont="1" applyFill="1" applyBorder="1"/>
    <xf numFmtId="1" fontId="0" fillId="0" borderId="0" xfId="0" applyNumberFormat="1"/>
    <xf numFmtId="37" fontId="2" fillId="2" borderId="0" xfId="1" applyFont="1" applyFill="1" applyAlignment="1">
      <alignment horizontal="center"/>
    </xf>
    <xf numFmtId="37" fontId="2" fillId="2" borderId="0" xfId="1" applyFont="1" applyFill="1"/>
    <xf numFmtId="37" fontId="2" fillId="2" borderId="0" xfId="1" applyFont="1" applyFill="1" applyAlignment="1">
      <alignment horizontal="left" indent="1"/>
    </xf>
    <xf numFmtId="37" fontId="5" fillId="2" borderId="0" xfId="1" applyFont="1" applyFill="1"/>
    <xf numFmtId="10" fontId="2" fillId="2" borderId="0" xfId="1" applyNumberFormat="1" applyFont="1" applyFill="1" applyAlignment="1">
      <alignment horizontal="center"/>
    </xf>
    <xf numFmtId="164" fontId="5" fillId="2" borderId="0" xfId="1" applyNumberFormat="1" applyFont="1" applyFill="1"/>
    <xf numFmtId="40" fontId="11" fillId="2" borderId="0" xfId="0" applyNumberFormat="1" applyFont="1" applyFill="1" applyAlignment="1">
      <alignment horizontal="left"/>
    </xf>
    <xf numFmtId="166" fontId="2" fillId="2" borderId="0" xfId="1" applyNumberFormat="1" applyFont="1" applyFill="1" applyAlignment="1">
      <alignment vertical="center"/>
    </xf>
    <xf numFmtId="2" fontId="4" fillId="2" borderId="0" xfId="0" applyNumberFormat="1" applyFont="1" applyFill="1"/>
    <xf numFmtId="1" fontId="4" fillId="2" borderId="0" xfId="0" applyNumberFormat="1" applyFont="1" applyFill="1"/>
    <xf numFmtId="2" fontId="5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vertical="center"/>
    </xf>
    <xf numFmtId="1" fontId="5" fillId="2" borderId="0" xfId="1" applyNumberFormat="1" applyFont="1" applyFill="1" applyAlignment="1">
      <alignment vertical="center"/>
    </xf>
    <xf numFmtId="40" fontId="12" fillId="2" borderId="0" xfId="0" applyNumberFormat="1" applyFont="1" applyFill="1" applyAlignment="1">
      <alignment horizontal="left"/>
    </xf>
    <xf numFmtId="1" fontId="2" fillId="2" borderId="0" xfId="1" applyNumberFormat="1" applyFont="1" applyFill="1" applyAlignment="1">
      <alignment vertical="center"/>
    </xf>
    <xf numFmtId="2" fontId="5" fillId="2" borderId="0" xfId="1" quotePrefix="1" applyNumberFormat="1" applyFont="1" applyFill="1" applyAlignment="1">
      <alignment horizontal="left" vertical="center" indent="1"/>
    </xf>
    <xf numFmtId="37" fontId="5" fillId="2" borderId="0" xfId="1" applyFont="1" applyFill="1" applyAlignment="1">
      <alignment horizontal="left" vertical="center"/>
    </xf>
    <xf numFmtId="9" fontId="5" fillId="2" borderId="0" xfId="2" applyFont="1" applyFill="1" applyBorder="1" applyAlignment="1">
      <alignment vertical="center"/>
    </xf>
    <xf numFmtId="9" fontId="3" fillId="2" borderId="0" xfId="2" applyFont="1" applyFill="1" applyBorder="1"/>
    <xf numFmtId="40" fontId="6" fillId="0" borderId="1" xfId="0" applyNumberFormat="1" applyFont="1" applyBorder="1" applyAlignment="1">
      <alignment horizontal="left"/>
    </xf>
    <xf numFmtId="40" fontId="7" fillId="0" borderId="1" xfId="0" applyNumberFormat="1" applyFont="1" applyBorder="1" applyAlignment="1">
      <alignment horizontal="left"/>
    </xf>
    <xf numFmtId="1" fontId="16" fillId="2" borderId="1" xfId="1" applyNumberFormat="1" applyFont="1" applyFill="1" applyBorder="1" applyAlignment="1">
      <alignment horizontal="right" vertical="center"/>
    </xf>
    <xf numFmtId="164" fontId="16" fillId="2" borderId="1" xfId="1" applyNumberFormat="1" applyFont="1" applyFill="1" applyBorder="1" applyAlignment="1">
      <alignment vertical="center"/>
    </xf>
    <xf numFmtId="0" fontId="13" fillId="0" borderId="1" xfId="0" applyFont="1" applyBorder="1"/>
    <xf numFmtId="0" fontId="0" fillId="0" borderId="0" xfId="0" applyAlignment="1">
      <alignment horizontal="right"/>
    </xf>
    <xf numFmtId="2" fontId="0" fillId="0" borderId="1" xfId="0" applyNumberFormat="1" applyBorder="1"/>
    <xf numFmtId="1" fontId="17" fillId="2" borderId="1" xfId="0" applyNumberFormat="1" applyFont="1" applyFill="1" applyBorder="1"/>
    <xf numFmtId="0" fontId="8" fillId="2" borderId="3" xfId="0" applyFont="1" applyFill="1" applyBorder="1" applyAlignment="1">
      <alignment horizontal="left"/>
    </xf>
    <xf numFmtId="164" fontId="5" fillId="2" borderId="3" xfId="1" applyNumberFormat="1" applyFont="1" applyFill="1" applyBorder="1" applyAlignment="1">
      <alignment vertical="center"/>
    </xf>
    <xf numFmtId="1" fontId="4" fillId="2" borderId="3" xfId="0" applyNumberFormat="1" applyFont="1" applyFill="1" applyBorder="1"/>
    <xf numFmtId="0" fontId="9" fillId="2" borderId="6" xfId="0" applyFont="1" applyFill="1" applyBorder="1" applyAlignment="1">
      <alignment horizontal="left"/>
    </xf>
    <xf numFmtId="164" fontId="5" fillId="2" borderId="6" xfId="1" applyNumberFormat="1" applyFont="1" applyFill="1" applyBorder="1" applyAlignment="1">
      <alignment vertical="center"/>
    </xf>
    <xf numFmtId="1" fontId="4" fillId="2" borderId="6" xfId="0" applyNumberFormat="1" applyFont="1" applyFill="1" applyBorder="1"/>
    <xf numFmtId="0" fontId="9" fillId="2" borderId="3" xfId="0" applyFont="1" applyFill="1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18" fillId="8" borderId="0" xfId="0" applyFont="1" applyFill="1"/>
    <xf numFmtId="10" fontId="0" fillId="2" borderId="6" xfId="0" applyNumberFormat="1" applyFill="1" applyBorder="1" applyAlignment="1">
      <alignment horizontal="center"/>
    </xf>
    <xf numFmtId="0" fontId="0" fillId="0" borderId="4" xfId="0" applyBorder="1"/>
    <xf numFmtId="0" fontId="13" fillId="0" borderId="8" xfId="0" applyFont="1" applyBorder="1"/>
    <xf numFmtId="0" fontId="0" fillId="0" borderId="8" xfId="0" applyBorder="1"/>
    <xf numFmtId="0" fontId="0" fillId="0" borderId="5" xfId="0" applyBorder="1"/>
    <xf numFmtId="0" fontId="13" fillId="0" borderId="4" xfId="0" applyFont="1" applyBorder="1"/>
    <xf numFmtId="10" fontId="0" fillId="0" borderId="11" xfId="0" applyNumberFormat="1" applyBorder="1"/>
    <xf numFmtId="0" fontId="23" fillId="0" borderId="0" xfId="0" applyFont="1"/>
    <xf numFmtId="0" fontId="24" fillId="0" borderId="0" xfId="6" applyFont="1"/>
    <xf numFmtId="0" fontId="13" fillId="0" borderId="1" xfId="0" applyFont="1" applyBorder="1" applyAlignment="1">
      <alignment horizontal="center"/>
    </xf>
    <xf numFmtId="0" fontId="13" fillId="7" borderId="1" xfId="0" applyFont="1" applyFill="1" applyBorder="1"/>
    <xf numFmtId="9" fontId="0" fillId="7" borderId="1" xfId="0" applyNumberFormat="1" applyFill="1" applyBorder="1"/>
    <xf numFmtId="10" fontId="0" fillId="0" borderId="13" xfId="0" applyNumberFormat="1" applyBorder="1"/>
    <xf numFmtId="0" fontId="0" fillId="0" borderId="2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7" xfId="0" applyBorder="1"/>
    <xf numFmtId="9" fontId="0" fillId="0" borderId="3" xfId="0" applyNumberFormat="1" applyBorder="1"/>
    <xf numFmtId="9" fontId="0" fillId="0" borderId="7" xfId="0" applyNumberFormat="1" applyBorder="1"/>
    <xf numFmtId="10" fontId="0" fillId="0" borderId="7" xfId="0" applyNumberFormat="1" applyBorder="1"/>
    <xf numFmtId="10" fontId="0" fillId="0" borderId="3" xfId="0" applyNumberFormat="1" applyBorder="1"/>
    <xf numFmtId="0" fontId="0" fillId="0" borderId="7" xfId="0" applyBorder="1" applyAlignment="1">
      <alignment horizontal="right"/>
    </xf>
    <xf numFmtId="165" fontId="0" fillId="0" borderId="6" xfId="0" applyNumberFormat="1" applyBorder="1"/>
    <xf numFmtId="0" fontId="0" fillId="9" borderId="0" xfId="0" applyFill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3" fillId="7" borderId="0" xfId="0" applyFont="1" applyFill="1"/>
    <xf numFmtId="10" fontId="0" fillId="7" borderId="0" xfId="0" applyNumberFormat="1" applyFill="1"/>
    <xf numFmtId="14" fontId="0" fillId="0" borderId="6" xfId="0" applyNumberFormat="1" applyBorder="1"/>
    <xf numFmtId="4" fontId="0" fillId="0" borderId="6" xfId="0" applyNumberFormat="1" applyBorder="1"/>
    <xf numFmtId="10" fontId="0" fillId="0" borderId="6" xfId="0" applyNumberFormat="1" applyBorder="1"/>
    <xf numFmtId="10" fontId="25" fillId="7" borderId="0" xfId="0" applyNumberFormat="1" applyFont="1" applyFill="1"/>
    <xf numFmtId="0" fontId="13" fillId="7" borderId="0" xfId="0" applyFont="1" applyFill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26" fillId="7" borderId="0" xfId="0" applyFont="1" applyFill="1" applyAlignment="1">
      <alignment horizontal="left"/>
    </xf>
    <xf numFmtId="0" fontId="13" fillId="7" borderId="1" xfId="0" applyFont="1" applyFill="1" applyBorder="1" applyAlignment="1">
      <alignment horizontal="center"/>
    </xf>
    <xf numFmtId="10" fontId="0" fillId="0" borderId="10" xfId="0" applyNumberFormat="1" applyBorder="1"/>
    <xf numFmtId="0" fontId="13" fillId="0" borderId="5" xfId="0" applyFont="1" applyBorder="1"/>
    <xf numFmtId="2" fontId="0" fillId="0" borderId="7" xfId="0" applyNumberFormat="1" applyBorder="1"/>
    <xf numFmtId="2" fontId="0" fillId="10" borderId="11" xfId="0" applyNumberFormat="1" applyFill="1" applyBorder="1" applyAlignment="1">
      <alignment horizontal="center"/>
    </xf>
    <xf numFmtId="2" fontId="0" fillId="10" borderId="13" xfId="0" applyNumberForma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/>
    </xf>
    <xf numFmtId="2" fontId="0" fillId="2" borderId="7" xfId="0" applyNumberFormat="1" applyFill="1" applyBorder="1" applyAlignment="1">
      <alignment horizontal="right"/>
    </xf>
    <xf numFmtId="2" fontId="0" fillId="2" borderId="8" xfId="0" applyNumberFormat="1" applyFill="1" applyBorder="1" applyAlignment="1">
      <alignment horizontal="right"/>
    </xf>
    <xf numFmtId="10" fontId="0" fillId="2" borderId="7" xfId="0" applyNumberFormat="1" applyFill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10" fontId="0" fillId="2" borderId="6" xfId="0" applyNumberFormat="1" applyFill="1" applyBorder="1" applyAlignment="1">
      <alignment horizontal="right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10" fontId="13" fillId="0" borderId="2" xfId="0" applyNumberFormat="1" applyFont="1" applyBorder="1" applyAlignment="1">
      <alignment horizontal="center"/>
    </xf>
    <xf numFmtId="2" fontId="0" fillId="0" borderId="0" xfId="0" applyNumberFormat="1"/>
    <xf numFmtId="10" fontId="0" fillId="0" borderId="0" xfId="0" applyNumberFormat="1" applyAlignment="1">
      <alignment horizontal="right"/>
    </xf>
    <xf numFmtId="10" fontId="0" fillId="0" borderId="12" xfId="0" applyNumberFormat="1" applyBorder="1" applyAlignment="1">
      <alignment horizontal="right"/>
    </xf>
    <xf numFmtId="0" fontId="13" fillId="2" borderId="0" xfId="0" applyFont="1" applyFill="1"/>
    <xf numFmtId="2" fontId="13" fillId="2" borderId="0" xfId="0" applyNumberFormat="1" applyFont="1" applyFill="1" applyAlignment="1">
      <alignment horizontal="center"/>
    </xf>
    <xf numFmtId="0" fontId="13" fillId="7" borderId="2" xfId="0" applyFont="1" applyFill="1" applyBorder="1"/>
    <xf numFmtId="10" fontId="13" fillId="7" borderId="15" xfId="0" applyNumberFormat="1" applyFont="1" applyFill="1" applyBorder="1"/>
    <xf numFmtId="0" fontId="0" fillId="10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3" fillId="11" borderId="1" xfId="0" applyFont="1" applyFill="1" applyBorder="1" applyAlignment="1">
      <alignment horizontal="center"/>
    </xf>
    <xf numFmtId="0" fontId="13" fillId="9" borderId="15" xfId="0" applyFont="1" applyFill="1" applyBorder="1"/>
    <xf numFmtId="2" fontId="0" fillId="9" borderId="11" xfId="0" applyNumberFormat="1" applyFill="1" applyBorder="1"/>
    <xf numFmtId="2" fontId="13" fillId="9" borderId="0" xfId="0" applyNumberFormat="1" applyFont="1" applyFill="1"/>
    <xf numFmtId="2" fontId="0" fillId="2" borderId="7" xfId="0" applyNumberFormat="1" applyFill="1" applyBorder="1"/>
    <xf numFmtId="2" fontId="0" fillId="2" borderId="11" xfId="0" applyNumberFormat="1" applyFill="1" applyBorder="1"/>
    <xf numFmtId="2" fontId="0" fillId="2" borderId="13" xfId="0" applyNumberFormat="1" applyFill="1" applyBorder="1"/>
    <xf numFmtId="2" fontId="0" fillId="2" borderId="6" xfId="0" applyNumberFormat="1" applyFill="1" applyBorder="1"/>
    <xf numFmtId="0" fontId="27" fillId="0" borderId="16" xfId="0" applyFont="1" applyBorder="1" applyAlignment="1">
      <alignment horizontal="right"/>
    </xf>
    <xf numFmtId="2" fontId="0" fillId="0" borderId="16" xfId="0" applyNumberFormat="1" applyBorder="1"/>
    <xf numFmtId="0" fontId="27" fillId="0" borderId="0" xfId="0" applyFont="1" applyAlignment="1">
      <alignment horizontal="right"/>
    </xf>
    <xf numFmtId="2" fontId="0" fillId="2" borderId="11" xfId="0" applyNumberFormat="1" applyFill="1" applyBorder="1" applyAlignment="1">
      <alignment horizontal="right"/>
    </xf>
    <xf numFmtId="0" fontId="0" fillId="9" borderId="8" xfId="0" applyFill="1" applyBorder="1"/>
    <xf numFmtId="0" fontId="0" fillId="10" borderId="12" xfId="0" applyFill="1" applyBorder="1"/>
    <xf numFmtId="2" fontId="0" fillId="10" borderId="13" xfId="0" applyNumberFormat="1" applyFill="1" applyBorder="1"/>
    <xf numFmtId="0" fontId="28" fillId="12" borderId="0" xfId="0" applyFont="1" applyFill="1"/>
    <xf numFmtId="0" fontId="28" fillId="9" borderId="0" xfId="0" applyFont="1" applyFill="1"/>
    <xf numFmtId="0" fontId="0" fillId="0" borderId="16" xfId="0" applyBorder="1"/>
    <xf numFmtId="0" fontId="0" fillId="7" borderId="5" xfId="0" applyFill="1" applyBorder="1"/>
    <xf numFmtId="0" fontId="0" fillId="7" borderId="12" xfId="0" applyFill="1" applyBorder="1"/>
    <xf numFmtId="10" fontId="0" fillId="7" borderId="13" xfId="0" applyNumberFormat="1" applyFill="1" applyBorder="1"/>
    <xf numFmtId="2" fontId="0" fillId="0" borderId="0" xfId="0" applyNumberFormat="1" applyAlignment="1">
      <alignment horizontal="center"/>
    </xf>
    <xf numFmtId="0" fontId="0" fillId="12" borderId="0" xfId="0" applyFill="1"/>
    <xf numFmtId="14" fontId="0" fillId="12" borderId="0" xfId="0" applyNumberFormat="1" applyFill="1"/>
    <xf numFmtId="4" fontId="0" fillId="0" borderId="0" xfId="0" applyNumberFormat="1"/>
    <xf numFmtId="2" fontId="0" fillId="2" borderId="0" xfId="0" applyNumberFormat="1" applyFill="1" applyAlignment="1">
      <alignment horizontal="center"/>
    </xf>
    <xf numFmtId="0" fontId="29" fillId="0" borderId="1" xfId="0" applyFont="1" applyBorder="1"/>
    <xf numFmtId="169" fontId="0" fillId="0" borderId="0" xfId="0" applyNumberFormat="1"/>
    <xf numFmtId="168" fontId="0" fillId="2" borderId="1" xfId="0" applyNumberForma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2" fontId="0" fillId="13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12" borderId="1" xfId="0" applyFill="1" applyBorder="1"/>
    <xf numFmtId="4" fontId="0" fillId="12" borderId="1" xfId="0" applyNumberFormat="1" applyFill="1" applyBorder="1"/>
    <xf numFmtId="0" fontId="18" fillId="14" borderId="1" xfId="0" applyFont="1" applyFill="1" applyBorder="1" applyAlignment="1">
      <alignment horizontal="center"/>
    </xf>
    <xf numFmtId="2" fontId="0" fillId="14" borderId="1" xfId="0" applyNumberFormat="1" applyFill="1" applyBorder="1"/>
    <xf numFmtId="0" fontId="0" fillId="7" borderId="2" xfId="0" applyFill="1" applyBorder="1"/>
    <xf numFmtId="0" fontId="0" fillId="0" borderId="12" xfId="0" applyBorder="1"/>
    <xf numFmtId="0" fontId="0" fillId="13" borderId="2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5" borderId="2" xfId="0" applyFill="1" applyBorder="1" applyAlignment="1">
      <alignment horizontal="center"/>
    </xf>
    <xf numFmtId="0" fontId="0" fillId="2" borderId="15" xfId="0" applyFill="1" applyBorder="1"/>
    <xf numFmtId="0" fontId="0" fillId="2" borderId="15" xfId="0" applyFill="1" applyBorder="1" applyAlignment="1">
      <alignment horizontal="left"/>
    </xf>
    <xf numFmtId="165" fontId="0" fillId="7" borderId="1" xfId="0" applyNumberFormat="1" applyFill="1" applyBorder="1"/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/>
    <xf numFmtId="0" fontId="13" fillId="0" borderId="0" xfId="0" applyFont="1" applyAlignment="1">
      <alignment horizontal="right"/>
    </xf>
    <xf numFmtId="2" fontId="0" fillId="2" borderId="0" xfId="0" applyNumberFormat="1" applyFill="1"/>
    <xf numFmtId="2" fontId="0" fillId="2" borderId="1" xfId="0" applyNumberFormat="1" applyFill="1" applyBorder="1"/>
    <xf numFmtId="0" fontId="0" fillId="2" borderId="14" xfId="0" applyFill="1" applyBorder="1"/>
    <xf numFmtId="0" fontId="0" fillId="2" borderId="7" xfId="0" applyFill="1" applyBorder="1"/>
    <xf numFmtId="0" fontId="3" fillId="4" borderId="8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0" fontId="0" fillId="0" borderId="0" xfId="0" applyNumberFormat="1"/>
    <xf numFmtId="4" fontId="0" fillId="16" borderId="1" xfId="0" applyNumberFormat="1" applyFill="1" applyBorder="1"/>
    <xf numFmtId="0" fontId="0" fillId="16" borderId="0" xfId="0" applyFill="1"/>
    <xf numFmtId="2" fontId="0" fillId="14" borderId="1" xfId="0" applyNumberFormat="1" applyFill="1" applyBorder="1" applyAlignment="1">
      <alignment horizontal="right"/>
    </xf>
    <xf numFmtId="0" fontId="0" fillId="0" borderId="11" xfId="0" applyBorder="1"/>
    <xf numFmtId="2" fontId="0" fillId="16" borderId="0" xfId="0" applyNumberFormat="1" applyFill="1"/>
    <xf numFmtId="10" fontId="0" fillId="15" borderId="17" xfId="0" applyNumberFormat="1" applyFill="1" applyBorder="1"/>
    <xf numFmtId="10" fontId="0" fillId="15" borderId="0" xfId="0" applyNumberFormat="1" applyFill="1"/>
    <xf numFmtId="0" fontId="0" fillId="15" borderId="18" xfId="0" applyFill="1" applyBorder="1"/>
    <xf numFmtId="0" fontId="0" fillId="15" borderId="19" xfId="0" applyFill="1" applyBorder="1"/>
    <xf numFmtId="0" fontId="0" fillId="15" borderId="20" xfId="0" applyFill="1" applyBorder="1"/>
    <xf numFmtId="0" fontId="0" fillId="15" borderId="21" xfId="0" applyFill="1" applyBorder="1"/>
    <xf numFmtId="0" fontId="0" fillId="15" borderId="0" xfId="0" applyFill="1"/>
    <xf numFmtId="0" fontId="0" fillId="15" borderId="17" xfId="0" applyFill="1" applyBorder="1"/>
    <xf numFmtId="0" fontId="0" fillId="15" borderId="22" xfId="0" applyFill="1" applyBorder="1"/>
    <xf numFmtId="0" fontId="0" fillId="15" borderId="23" xfId="0" applyFill="1" applyBorder="1"/>
    <xf numFmtId="0" fontId="0" fillId="15" borderId="24" xfId="0" applyFill="1" applyBorder="1"/>
    <xf numFmtId="0" fontId="0" fillId="15" borderId="19" xfId="0" applyFill="1" applyBorder="1" applyAlignment="1">
      <alignment horizontal="center"/>
    </xf>
    <xf numFmtId="0" fontId="13" fillId="15" borderId="19" xfId="0" applyFont="1" applyFill="1" applyBorder="1" applyAlignment="1">
      <alignment horizontal="center"/>
    </xf>
    <xf numFmtId="0" fontId="13" fillId="15" borderId="19" xfId="0" applyFont="1" applyFill="1" applyBorder="1" applyAlignment="1">
      <alignment horizontal="left"/>
    </xf>
    <xf numFmtId="0" fontId="0" fillId="15" borderId="20" xfId="0" applyFill="1" applyBorder="1" applyAlignment="1">
      <alignment horizontal="center"/>
    </xf>
    <xf numFmtId="2" fontId="30" fillId="15" borderId="21" xfId="0" applyNumberFormat="1" applyFont="1" applyFill="1" applyBorder="1"/>
    <xf numFmtId="10" fontId="0" fillId="15" borderId="21" xfId="0" applyNumberFormat="1" applyFill="1" applyBorder="1"/>
    <xf numFmtId="2" fontId="0" fillId="15" borderId="0" xfId="0" applyNumberFormat="1" applyFill="1"/>
    <xf numFmtId="0" fontId="31" fillId="15" borderId="19" xfId="0" applyFont="1" applyFill="1" applyBorder="1" applyAlignment="1">
      <alignment horizontal="center"/>
    </xf>
    <xf numFmtId="0" fontId="33" fillId="17" borderId="25" xfId="0" applyFont="1" applyFill="1" applyBorder="1" applyAlignment="1">
      <alignment vertical="center"/>
    </xf>
    <xf numFmtId="0" fontId="33" fillId="17" borderId="19" xfId="0" applyFont="1" applyFill="1" applyBorder="1" applyAlignment="1">
      <alignment vertical="center" wrapText="1"/>
    </xf>
    <xf numFmtId="0" fontId="33" fillId="17" borderId="19" xfId="0" applyFont="1" applyFill="1" applyBorder="1" applyAlignment="1">
      <alignment horizontal="left" vertical="center" wrapText="1"/>
    </xf>
    <xf numFmtId="0" fontId="33" fillId="17" borderId="20" xfId="0" applyFont="1" applyFill="1" applyBorder="1" applyAlignment="1">
      <alignment vertical="center" wrapText="1"/>
    </xf>
    <xf numFmtId="0" fontId="33" fillId="17" borderId="21" xfId="0" applyFont="1" applyFill="1" applyBorder="1" applyAlignment="1">
      <alignment vertical="center"/>
    </xf>
    <xf numFmtId="0" fontId="33" fillId="17" borderId="17" xfId="0" applyFont="1" applyFill="1" applyBorder="1" applyAlignment="1">
      <alignment vertical="center"/>
    </xf>
    <xf numFmtId="0" fontId="13" fillId="0" borderId="21" xfId="0" applyFont="1" applyBorder="1"/>
    <xf numFmtId="3" fontId="0" fillId="0" borderId="0" xfId="0" applyNumberFormat="1"/>
    <xf numFmtId="43" fontId="35" fillId="0" borderId="0" xfId="7" applyFont="1" applyBorder="1" applyAlignment="1">
      <alignment vertical="center"/>
    </xf>
    <xf numFmtId="2" fontId="0" fillId="0" borderId="17" xfId="0" applyNumberFormat="1" applyBorder="1"/>
    <xf numFmtId="43" fontId="35" fillId="0" borderId="0" xfId="7" applyFont="1" applyBorder="1" applyAlignment="1">
      <alignment horizontal="right" vertical="center"/>
    </xf>
    <xf numFmtId="43" fontId="35" fillId="0" borderId="17" xfId="7" applyFont="1" applyBorder="1" applyAlignment="1">
      <alignment vertical="center"/>
    </xf>
    <xf numFmtId="0" fontId="2" fillId="0" borderId="21" xfId="8" applyFont="1" applyBorder="1"/>
    <xf numFmtId="0" fontId="2" fillId="0" borderId="22" xfId="8" applyFont="1" applyBorder="1"/>
    <xf numFmtId="43" fontId="0" fillId="0" borderId="23" xfId="0" applyNumberFormat="1" applyBorder="1"/>
    <xf numFmtId="172" fontId="0" fillId="0" borderId="23" xfId="0" applyNumberFormat="1" applyBorder="1" applyAlignment="1">
      <alignment vertical="center"/>
    </xf>
    <xf numFmtId="0" fontId="33" fillId="17" borderId="19" xfId="0" applyFont="1" applyFill="1" applyBorder="1" applyAlignment="1">
      <alignment vertical="center"/>
    </xf>
    <xf numFmtId="0" fontId="33" fillId="17" borderId="0" xfId="0" applyFont="1" applyFill="1" applyAlignment="1">
      <alignment vertical="center"/>
    </xf>
    <xf numFmtId="0" fontId="2" fillId="0" borderId="0" xfId="8" applyFont="1"/>
    <xf numFmtId="0" fontId="2" fillId="0" borderId="23" xfId="8" applyFont="1" applyBorder="1"/>
    <xf numFmtId="0" fontId="32" fillId="17" borderId="18" xfId="0" applyFont="1" applyFill="1" applyBorder="1" applyAlignment="1">
      <alignment vertical="center"/>
    </xf>
    <xf numFmtId="0" fontId="32" fillId="17" borderId="19" xfId="0" applyFont="1" applyFill="1" applyBorder="1" applyAlignment="1">
      <alignment vertical="center"/>
    </xf>
    <xf numFmtId="0" fontId="33" fillId="17" borderId="19" xfId="0" applyFont="1" applyFill="1" applyBorder="1" applyAlignment="1">
      <alignment horizontal="center" vertical="center"/>
    </xf>
    <xf numFmtId="0" fontId="34" fillId="17" borderId="19" xfId="0" applyFont="1" applyFill="1" applyBorder="1" applyAlignment="1">
      <alignment horizontal="center" vertical="center"/>
    </xf>
    <xf numFmtId="170" fontId="0" fillId="0" borderId="0" xfId="0" applyNumberFormat="1"/>
    <xf numFmtId="0" fontId="0" fillId="0" borderId="21" xfId="0" applyBorder="1" applyAlignment="1">
      <alignment horizontal="left"/>
    </xf>
    <xf numFmtId="43" fontId="0" fillId="0" borderId="0" xfId="0" applyNumberFormat="1"/>
    <xf numFmtId="172" fontId="0" fillId="0" borderId="0" xfId="0" applyNumberFormat="1" applyAlignment="1">
      <alignment vertical="center"/>
    </xf>
    <xf numFmtId="172" fontId="0" fillId="0" borderId="17" xfId="0" applyNumberFormat="1" applyBorder="1" applyAlignment="1">
      <alignment vertical="center"/>
    </xf>
    <xf numFmtId="172" fontId="0" fillId="0" borderId="24" xfId="0" applyNumberFormat="1" applyBorder="1" applyAlignment="1">
      <alignment vertical="center"/>
    </xf>
    <xf numFmtId="2" fontId="35" fillId="0" borderId="0" xfId="7" applyNumberFormat="1" applyFont="1" applyBorder="1" applyAlignment="1">
      <alignment vertical="center"/>
    </xf>
    <xf numFmtId="2" fontId="0" fillId="0" borderId="0" xfId="0" applyNumberFormat="1" applyAlignment="1">
      <alignment horizontal="left"/>
    </xf>
    <xf numFmtId="2" fontId="35" fillId="0" borderId="0" xfId="7" applyNumberFormat="1" applyFont="1" applyBorder="1" applyAlignment="1">
      <alignment horizontal="left" vertical="center"/>
    </xf>
    <xf numFmtId="1" fontId="35" fillId="0" borderId="0" xfId="7" applyNumberFormat="1" applyFont="1" applyBorder="1" applyAlignment="1">
      <alignment horizontal="left" vertical="center"/>
    </xf>
    <xf numFmtId="2" fontId="0" fillId="0" borderId="0" xfId="0" applyNumberFormat="1" applyAlignment="1">
      <alignment horizontal="right" vertical="center"/>
    </xf>
    <xf numFmtId="3" fontId="35" fillId="0" borderId="0" xfId="7" applyNumberFormat="1" applyFont="1" applyBorder="1" applyAlignment="1">
      <alignment vertical="center"/>
    </xf>
    <xf numFmtId="0" fontId="33" fillId="17" borderId="0" xfId="0" applyFont="1" applyFill="1" applyAlignment="1">
      <alignment vertical="center" wrapText="1"/>
    </xf>
    <xf numFmtId="171" fontId="0" fillId="0" borderId="18" xfId="0" applyNumberFormat="1" applyBorder="1"/>
    <xf numFmtId="171" fontId="0" fillId="0" borderId="26" xfId="0" applyNumberFormat="1" applyBorder="1"/>
    <xf numFmtId="43" fontId="0" fillId="0" borderId="21" xfId="0" applyNumberFormat="1" applyBorder="1"/>
    <xf numFmtId="43" fontId="0" fillId="0" borderId="27" xfId="0" applyNumberFormat="1" applyBorder="1"/>
    <xf numFmtId="2" fontId="13" fillId="0" borderId="22" xfId="0" applyNumberFormat="1" applyFont="1" applyBorder="1"/>
    <xf numFmtId="2" fontId="13" fillId="0" borderId="28" xfId="0" applyNumberFormat="1" applyFont="1" applyBorder="1"/>
    <xf numFmtId="0" fontId="33" fillId="17" borderId="18" xfId="0" applyFont="1" applyFill="1" applyBorder="1" applyAlignment="1">
      <alignment horizontal="center" vertical="center" wrapText="1"/>
    </xf>
    <xf numFmtId="0" fontId="33" fillId="17" borderId="19" xfId="0" applyFont="1" applyFill="1" applyBorder="1" applyAlignment="1">
      <alignment horizontal="center" vertical="center" wrapText="1"/>
    </xf>
    <xf numFmtId="0" fontId="33" fillId="17" borderId="20" xfId="0" applyFont="1" applyFill="1" applyBorder="1" applyAlignment="1">
      <alignment horizontal="center" vertical="center" wrapText="1"/>
    </xf>
    <xf numFmtId="171" fontId="0" fillId="0" borderId="18" xfId="0" applyNumberFormat="1" applyBorder="1" applyAlignment="1">
      <alignment horizontal="right"/>
    </xf>
    <xf numFmtId="171" fontId="0" fillId="0" borderId="26" xfId="0" applyNumberFormat="1" applyBorder="1" applyAlignment="1">
      <alignment horizontal="right"/>
    </xf>
    <xf numFmtId="43" fontId="0" fillId="0" borderId="20" xfId="0" applyNumberFormat="1" applyBorder="1" applyAlignment="1">
      <alignment horizontal="right"/>
    </xf>
    <xf numFmtId="43" fontId="0" fillId="0" borderId="21" xfId="0" applyNumberFormat="1" applyBorder="1" applyAlignment="1">
      <alignment horizontal="right"/>
    </xf>
    <xf numFmtId="43" fontId="0" fillId="0" borderId="27" xfId="0" applyNumberFormat="1" applyBorder="1" applyAlignment="1">
      <alignment horizontal="right"/>
    </xf>
    <xf numFmtId="43" fontId="0" fillId="0" borderId="17" xfId="0" applyNumberFormat="1" applyBorder="1" applyAlignment="1">
      <alignment horizontal="right"/>
    </xf>
    <xf numFmtId="2" fontId="13" fillId="0" borderId="22" xfId="0" applyNumberFormat="1" applyFont="1" applyBorder="1" applyAlignment="1">
      <alignment horizontal="right"/>
    </xf>
    <xf numFmtId="2" fontId="13" fillId="0" borderId="28" xfId="0" applyNumberFormat="1" applyFont="1" applyBorder="1" applyAlignment="1">
      <alignment horizontal="right"/>
    </xf>
    <xf numFmtId="0" fontId="33" fillId="17" borderId="17" xfId="0" applyFont="1" applyFill="1" applyBorder="1" applyAlignment="1">
      <alignment horizontal="center" vertical="center" wrapText="1"/>
    </xf>
    <xf numFmtId="171" fontId="0" fillId="0" borderId="27" xfId="0" applyNumberFormat="1" applyBorder="1" applyAlignment="1">
      <alignment horizontal="right"/>
    </xf>
    <xf numFmtId="0" fontId="2" fillId="15" borderId="0" xfId="8" applyFont="1" applyFill="1"/>
    <xf numFmtId="0" fontId="13" fillId="15" borderId="0" xfId="0" applyFont="1" applyFill="1"/>
    <xf numFmtId="2" fontId="0" fillId="0" borderId="12" xfId="0" applyNumberFormat="1" applyBorder="1"/>
    <xf numFmtId="2" fontId="0" fillId="0" borderId="11" xfId="0" applyNumberFormat="1" applyBorder="1"/>
    <xf numFmtId="0" fontId="0" fillId="0" borderId="12" xfId="0" applyBorder="1" applyAlignment="1">
      <alignment horizontal="center"/>
    </xf>
    <xf numFmtId="2" fontId="0" fillId="0" borderId="3" xfId="0" applyNumberFormat="1" applyBorder="1"/>
    <xf numFmtId="2" fontId="0" fillId="0" borderId="7" xfId="7" applyNumberFormat="1" applyFont="1" applyBorder="1"/>
    <xf numFmtId="2" fontId="0" fillId="0" borderId="6" xfId="0" applyNumberFormat="1" applyBorder="1"/>
    <xf numFmtId="2" fontId="0" fillId="18" borderId="6" xfId="0" applyNumberFormat="1" applyFill="1" applyBorder="1"/>
    <xf numFmtId="2" fontId="0" fillId="2" borderId="3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19" borderId="12" xfId="0" applyNumberFormat="1" applyFill="1" applyBorder="1"/>
    <xf numFmtId="2" fontId="0" fillId="19" borderId="13" xfId="0" applyNumberFormat="1" applyFill="1" applyBorder="1"/>
    <xf numFmtId="0" fontId="37" fillId="20" borderId="1" xfId="0" applyFont="1" applyFill="1" applyBorder="1" applyAlignment="1">
      <alignment horizontal="center"/>
    </xf>
    <xf numFmtId="2" fontId="0" fillId="21" borderId="3" xfId="0" applyNumberForma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37" fontId="2" fillId="0" borderId="1" xfId="1" applyFont="1" applyBorder="1" applyAlignment="1">
      <alignment horizontal="left" vertical="center" wrapText="1" indent="1"/>
    </xf>
    <xf numFmtId="0" fontId="3" fillId="2" borderId="0" xfId="0" applyFont="1" applyFill="1" applyAlignment="1">
      <alignment horizontal="center"/>
    </xf>
    <xf numFmtId="0" fontId="33" fillId="17" borderId="19" xfId="0" applyFont="1" applyFill="1" applyBorder="1" applyAlignment="1">
      <alignment horizontal="center" vertical="center"/>
    </xf>
    <xf numFmtId="0" fontId="33" fillId="17" borderId="20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/>
    </xf>
  </cellXfs>
  <cellStyles count="9">
    <cellStyle name="Comma" xfId="7" builtinId="3"/>
    <cellStyle name="EYColumnHeading 3" xfId="3" xr:uid="{C0362108-D3C7-412E-877E-BA400196DB67}"/>
    <cellStyle name="EYNotesHeading 3" xfId="4" xr:uid="{5BF62456-9FCC-4902-B075-DFD66F075C25}"/>
    <cellStyle name="EYtext" xfId="5" xr:uid="{5EEBA118-9E99-4DE4-9A5B-3DF29473521B}"/>
    <cellStyle name="Hyperlink" xfId="6" builtinId="8"/>
    <cellStyle name="Normal" xfId="0" builtinId="0"/>
    <cellStyle name="Normal 12 10" xfId="1" xr:uid="{CBF97957-35F2-44E7-BBA9-ED519B9099B1}"/>
    <cellStyle name="Normal 2" xfId="8" xr:uid="{19B935C9-02A0-4120-B63A-3DB3647F55CC}"/>
    <cellStyle name="Percent" xfId="2" builtinId="5"/>
  </cellStyles>
  <dxfs count="0"/>
  <tableStyles count="0" defaultTableStyle="TableStyleMedium9" defaultPivotStyle="PivotStyleLight16"/>
  <colors>
    <mruColors>
      <color rgb="FF0275D8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Football Field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 ANALYSIS'!$C$2</c:f>
              <c:strCache>
                <c:ptCount val="1"/>
                <c:pt idx="0">
                  <c:v>Lower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ANALYSIS'!$B$3:$B$7</c:f>
              <c:strCache>
                <c:ptCount val="5"/>
                <c:pt idx="0">
                  <c:v>Perpetual Growth</c:v>
                </c:pt>
                <c:pt idx="1">
                  <c:v>CCA</c:v>
                </c:pt>
                <c:pt idx="2">
                  <c:v>EV/Sales</c:v>
                </c:pt>
                <c:pt idx="3">
                  <c:v>P/E</c:v>
                </c:pt>
                <c:pt idx="4">
                  <c:v>52 week range</c:v>
                </c:pt>
              </c:strCache>
            </c:strRef>
          </c:cat>
          <c:val>
            <c:numRef>
              <c:f>'FOOTBALL FIELD ANALYSIS'!$C$3:$C$7</c:f>
              <c:numCache>
                <c:formatCode>0.00</c:formatCode>
                <c:ptCount val="5"/>
                <c:pt idx="0">
                  <c:v>780.35556736035198</c:v>
                </c:pt>
                <c:pt idx="1">
                  <c:v>1130.3767631882497</c:v>
                </c:pt>
                <c:pt idx="2">
                  <c:v>1013.5162700438433</c:v>
                </c:pt>
                <c:pt idx="3">
                  <c:v>662.41062516317629</c:v>
                </c:pt>
                <c:pt idx="4" formatCode="General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5D6-948C-A43F17CA8180}"/>
            </c:ext>
          </c:extLst>
        </c:ser>
        <c:ser>
          <c:idx val="1"/>
          <c:order val="1"/>
          <c:tx>
            <c:strRef>
              <c:f>'FOOTBALL FIELD ANALYSIS'!$D$2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'FOOTBALL FIELD ANALYSIS'!$B$3:$B$7</c:f>
              <c:strCache>
                <c:ptCount val="5"/>
                <c:pt idx="0">
                  <c:v>Perpetual Growth</c:v>
                </c:pt>
                <c:pt idx="1">
                  <c:v>CCA</c:v>
                </c:pt>
                <c:pt idx="2">
                  <c:v>EV/Sales</c:v>
                </c:pt>
                <c:pt idx="3">
                  <c:v>P/E</c:v>
                </c:pt>
                <c:pt idx="4">
                  <c:v>52 week range</c:v>
                </c:pt>
              </c:strCache>
            </c:strRef>
          </c:cat>
          <c:val>
            <c:numRef>
              <c:f>'FOOTBALL FIELD ANALYSIS'!$D$3:$D$7</c:f>
              <c:numCache>
                <c:formatCode>0.00</c:formatCode>
                <c:ptCount val="5"/>
                <c:pt idx="0">
                  <c:v>235.50015130219469</c:v>
                </c:pt>
                <c:pt idx="1">
                  <c:v>251.19483626405554</c:v>
                </c:pt>
                <c:pt idx="2">
                  <c:v>225.22583778752085</c:v>
                </c:pt>
                <c:pt idx="3">
                  <c:v>147.20236114737247</c:v>
                </c:pt>
                <c:pt idx="4">
                  <c:v>142.89999999999998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2-45D6-948C-A43F17CA8180}"/>
            </c:ext>
          </c:extLst>
        </c:ser>
        <c:ser>
          <c:idx val="2"/>
          <c:order val="2"/>
          <c:tx>
            <c:strRef>
              <c:f>'FOOTBALL FIELD ANALYSIS'!$E$2</c:f>
              <c:strCache>
                <c:ptCount val="1"/>
                <c:pt idx="0">
                  <c:v>Higher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12-45D6-948C-A43F17CA8180}"/>
                </c:ext>
              </c:extLst>
            </c:dLbl>
            <c:dLbl>
              <c:idx val="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12-45D6-948C-A43F17CA8180}"/>
                </c:ext>
              </c:extLst>
            </c:dLbl>
            <c:dLbl>
              <c:idx val="2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12-45D6-948C-A43F17CA8180}"/>
                </c:ext>
              </c:extLst>
            </c:dLbl>
            <c:dLbl>
              <c:idx val="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12-45D6-948C-A43F17CA8180}"/>
                </c:ext>
              </c:extLst>
            </c:dLbl>
            <c:dLbl>
              <c:idx val="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12-45D6-948C-A43F17CA81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ANALYSIS'!$B$3:$B$7</c:f>
              <c:strCache>
                <c:ptCount val="5"/>
                <c:pt idx="0">
                  <c:v>Perpetual Growth</c:v>
                </c:pt>
                <c:pt idx="1">
                  <c:v>CCA</c:v>
                </c:pt>
                <c:pt idx="2">
                  <c:v>EV/Sales</c:v>
                </c:pt>
                <c:pt idx="3">
                  <c:v>P/E</c:v>
                </c:pt>
                <c:pt idx="4">
                  <c:v>52 week range</c:v>
                </c:pt>
              </c:strCache>
            </c:strRef>
          </c:cat>
          <c:val>
            <c:numRef>
              <c:f>'FOOTBALL FIELD ANALYSIS'!$E$3:$E$7</c:f>
              <c:numCache>
                <c:formatCode>0.00</c:formatCode>
                <c:ptCount val="5"/>
                <c:pt idx="0">
                  <c:v>1015.8557186625467</c:v>
                </c:pt>
                <c:pt idx="1">
                  <c:v>1381.5715994523052</c:v>
                </c:pt>
                <c:pt idx="2">
                  <c:v>1238.7421078313641</c:v>
                </c:pt>
                <c:pt idx="3">
                  <c:v>809.61298631054876</c:v>
                </c:pt>
                <c:pt idx="4" formatCode="General">
                  <c:v>584.9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2-45D6-948C-A43F17CA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776352"/>
        <c:axId val="33774432"/>
      </c:barChart>
      <c:catAx>
        <c:axId val="3377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4432"/>
        <c:crosses val="autoZero"/>
        <c:auto val="1"/>
        <c:lblAlgn val="ctr"/>
        <c:lblOffset val="100"/>
        <c:noMultiLvlLbl val="0"/>
      </c:catAx>
      <c:valAx>
        <c:axId val="33774432"/>
        <c:scaling>
          <c:orientation val="minMax"/>
          <c:max val="180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10440</xdr:colOff>
      <xdr:row>0</xdr:row>
      <xdr:rowOff>0</xdr:rowOff>
    </xdr:from>
    <xdr:to>
      <xdr:col>1</xdr:col>
      <xdr:colOff>2129426</xdr:colOff>
      <xdr:row>5</xdr:row>
      <xdr:rowOff>185569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AB39BC-84F5-1964-71E3-46FD2510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00" y="0"/>
          <a:ext cx="2118986" cy="1177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12806</xdr:colOff>
      <xdr:row>0</xdr:row>
      <xdr:rowOff>0</xdr:rowOff>
    </xdr:from>
    <xdr:to>
      <xdr:col>1</xdr:col>
      <xdr:colOff>1693381</xdr:colOff>
      <xdr:row>4</xdr:row>
      <xdr:rowOff>149881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9E8B1-A6CD-4BD0-8224-C9610450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12" y="0"/>
          <a:ext cx="1680575" cy="938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107576</xdr:colOff>
      <xdr:row>0</xdr:row>
      <xdr:rowOff>26894</xdr:rowOff>
    </xdr:from>
    <xdr:to>
      <xdr:col>1</xdr:col>
      <xdr:colOff>1721222</xdr:colOff>
      <xdr:row>4</xdr:row>
      <xdr:rowOff>179455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4C454-C3F3-4159-8D75-5CF4061F6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76" y="26894"/>
          <a:ext cx="1739152" cy="941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</xdr:colOff>
      <xdr:row>0</xdr:row>
      <xdr:rowOff>0</xdr:rowOff>
    </xdr:from>
    <xdr:to>
      <xdr:col>1</xdr:col>
      <xdr:colOff>1691640</xdr:colOff>
      <xdr:row>4</xdr:row>
      <xdr:rowOff>130527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B8A0D-E745-41A1-ACD5-A4CAA9F0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30" y="0"/>
          <a:ext cx="1682750" cy="9230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1668780</xdr:colOff>
      <xdr:row>4</xdr:row>
      <xdr:rowOff>175400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E021A-2406-4AD8-B0C3-FEF266730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8780" cy="9069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8965</xdr:colOff>
      <xdr:row>0</xdr:row>
      <xdr:rowOff>0</xdr:rowOff>
    </xdr:from>
    <xdr:to>
      <xdr:col>1</xdr:col>
      <xdr:colOff>1677745</xdr:colOff>
      <xdr:row>4</xdr:row>
      <xdr:rowOff>175400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B67E2F-7E1E-4ECD-B1FC-FA193A5F1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0"/>
          <a:ext cx="1668780" cy="8925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1113</xdr:colOff>
      <xdr:row>10</xdr:row>
      <xdr:rowOff>92927</xdr:rowOff>
    </xdr:from>
    <xdr:to>
      <xdr:col>12</xdr:col>
      <xdr:colOff>566852</xdr:colOff>
      <xdr:row>29</xdr:row>
      <xdr:rowOff>176562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D1BB8-F34E-68D1-EFE9-A0E9C1091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0.33086</cdr:x>
      <cdr:y>0.16888</cdr:y>
    </cdr:from>
    <cdr:to>
      <cdr:x>0.33221</cdr:x>
      <cdr:y>0.79177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16F8C28-D042-D742-7FB4-8D8D9F1583F5}"/>
            </a:ext>
          </a:extLst>
        </cdr:cNvPr>
        <cdr:cNvCxnSpPr/>
      </cdr:nvCxnSpPr>
      <cdr:spPr>
        <a:xfrm xmlns:a="http://schemas.openxmlformats.org/drawingml/2006/main" flipH="1">
          <a:off x="2582252" y="610480"/>
          <a:ext cx="10596" cy="22516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0.76544</cdr:x>
      <cdr:y>0.17738</cdr:y>
    </cdr:from>
    <cdr:to>
      <cdr:x>0.76782</cdr:x>
      <cdr:y>0.80206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586A6A2B-A8AD-0327-B049-D7E40D368C28}"/>
            </a:ext>
          </a:extLst>
        </cdr:cNvPr>
        <cdr:cNvCxnSpPr/>
      </cdr:nvCxnSpPr>
      <cdr:spPr>
        <a:xfrm xmlns:a="http://schemas.openxmlformats.org/drawingml/2006/main" flipH="1">
          <a:off x="5974081" y="641194"/>
          <a:ext cx="18586" cy="22581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stern.nyu.edu/~adamodar/New_Home_Page/datafile/ctryprem.html" TargetMode="External"/><Relationship Id="rId2" Type="http://schemas.openxmlformats.org/officeDocument/2006/relationships/hyperlink" Target="https://pages.stern.nyu.edu/~adamodar/New_Home_Page/datafile/ratings.html" TargetMode="External"/><Relationship Id="rId1" Type="http://schemas.openxmlformats.org/officeDocument/2006/relationships/hyperlink" Target="https://in.investing.com/rates-bonds/india-10-year-bond-yield-historical-data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F481-7704-4F2D-AF1B-C415F9DF4C13}">
  <dimension ref="B1:L81"/>
  <sheetViews>
    <sheetView showGridLines="0" zoomScale="82" zoomScaleNormal="85" workbookViewId="0">
      <pane ySplit="7" topLeftCell="A27" activePane="bottomLeft" state="frozen"/>
      <selection pane="bottomLeft" activeCell="Q19" sqref="Q19"/>
    </sheetView>
  </sheetViews>
  <sheetFormatPr defaultColWidth="8.88671875" defaultRowHeight="15.6"/>
  <cols>
    <col min="1" max="1" width="1.88671875" style="6" customWidth="1"/>
    <col min="2" max="2" width="64.6640625" style="6" bestFit="1" customWidth="1"/>
    <col min="3" max="12" width="12.6640625" style="6" customWidth="1"/>
    <col min="13" max="16384" width="8.88671875" style="6"/>
  </cols>
  <sheetData>
    <row r="1" spans="2:12">
      <c r="C1" s="59" t="s">
        <v>160</v>
      </c>
    </row>
    <row r="2" spans="2:12">
      <c r="C2" s="59" t="s">
        <v>161</v>
      </c>
    </row>
    <row r="7" spans="2:12">
      <c r="B7" s="39" t="s">
        <v>63</v>
      </c>
      <c r="C7" s="4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5" t="s">
        <v>5</v>
      </c>
      <c r="I7" s="5" t="s">
        <v>6</v>
      </c>
      <c r="J7" s="5" t="s">
        <v>7</v>
      </c>
      <c r="K7" s="5" t="s">
        <v>8</v>
      </c>
      <c r="L7" s="5" t="s">
        <v>9</v>
      </c>
    </row>
    <row r="8" spans="2:12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2:12">
      <c r="B9" s="2" t="s">
        <v>10</v>
      </c>
      <c r="C9" s="8">
        <f>138204.61/100</f>
        <v>1382.0460999999998</v>
      </c>
      <c r="D9" s="8">
        <f>200368.33/100</f>
        <v>2003.6832999999999</v>
      </c>
      <c r="E9" s="8">
        <f>256419.67/100</f>
        <v>2564.1967</v>
      </c>
      <c r="F9" s="8">
        <f>271075.8/100</f>
        <v>2710.7579999999998</v>
      </c>
      <c r="G9" s="8">
        <v>3506.79</v>
      </c>
      <c r="H9" s="10">
        <f>G9*(1+$H$10)</f>
        <v>4512.1834005907958</v>
      </c>
      <c r="I9" s="10">
        <f>H9*(1+$H$10)</f>
        <v>5805.8221452003445</v>
      </c>
      <c r="J9" s="10">
        <f>I9*(1+$H$10)</f>
        <v>7470.345903334799</v>
      </c>
      <c r="K9" s="10">
        <f>J9*(1+$H$10)</f>
        <v>9612.0870601600709</v>
      </c>
      <c r="L9" s="10">
        <f>K9*(1+$H$10)</f>
        <v>12367.863395837177</v>
      </c>
    </row>
    <row r="10" spans="2:12">
      <c r="B10" s="2"/>
      <c r="C10" s="7"/>
      <c r="D10" s="12">
        <f>D9/C9-1</f>
        <v>0.44979483680030663</v>
      </c>
      <c r="E10" s="12">
        <f t="shared" ref="E10:G10" si="0">E9/D9-1</f>
        <v>0.27974151404066694</v>
      </c>
      <c r="F10" s="12">
        <f t="shared" si="0"/>
        <v>5.7156808602085718E-2</v>
      </c>
      <c r="G10" s="12">
        <f t="shared" si="0"/>
        <v>0.29365660822544837</v>
      </c>
      <c r="H10" s="15">
        <f>MEDIAN(D10:G10)</f>
        <v>0.28669906113305765</v>
      </c>
      <c r="I10" s="17"/>
      <c r="J10" s="17"/>
      <c r="K10" s="17"/>
      <c r="L10" s="17"/>
    </row>
    <row r="11" spans="2:12">
      <c r="B11" s="2" t="s">
        <v>11</v>
      </c>
      <c r="C11" s="10">
        <f xml:space="preserve"> 23.31 /100</f>
        <v>0.23309999999999997</v>
      </c>
      <c r="D11" s="8">
        <f>1196.77/100</f>
        <v>11.967700000000001</v>
      </c>
      <c r="E11" s="10">
        <f>391.33/100</f>
        <v>3.9133</v>
      </c>
      <c r="F11" s="11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</row>
    <row r="12" spans="2:12">
      <c r="B12" s="2"/>
      <c r="C12" s="7"/>
      <c r="D12" s="12">
        <f>D11/C11-1</f>
        <v>50.341484341484353</v>
      </c>
      <c r="E12" s="12">
        <f t="shared" ref="E12" si="1">E11/D11-1</f>
        <v>-0.67301152268188535</v>
      </c>
      <c r="F12" s="12">
        <v>0</v>
      </c>
      <c r="G12" s="12">
        <v>0</v>
      </c>
      <c r="H12" s="18">
        <v>0</v>
      </c>
      <c r="I12" s="12">
        <v>0</v>
      </c>
      <c r="J12" s="12">
        <v>0</v>
      </c>
      <c r="K12" s="12">
        <v>0</v>
      </c>
      <c r="L12" s="12">
        <v>0</v>
      </c>
    </row>
    <row r="13" spans="2:12">
      <c r="B13" s="2" t="s">
        <v>12</v>
      </c>
      <c r="C13" s="10">
        <f xml:space="preserve"> 46.99/100</f>
        <v>0.46990000000000004</v>
      </c>
      <c r="D13" s="8">
        <f>1971.38/100</f>
        <v>19.713800000000003</v>
      </c>
      <c r="E13" s="8">
        <f>2403.97/100</f>
        <v>24.039699999999996</v>
      </c>
      <c r="F13" s="8">
        <f>3444.83/100</f>
        <v>34.448299999999996</v>
      </c>
      <c r="G13" s="7">
        <v>47.94</v>
      </c>
      <c r="H13" s="10">
        <f>G13+(1+$H$14)</f>
        <v>49.331650676521043</v>
      </c>
      <c r="I13" s="10">
        <f>H13+(1+$H$14)</f>
        <v>50.723301353042089</v>
      </c>
      <c r="J13" s="10">
        <f>I13+(1+$H$14)</f>
        <v>52.114952029563135</v>
      </c>
      <c r="K13" s="10">
        <f>J13+(1+$H$14)</f>
        <v>53.50660270608418</v>
      </c>
      <c r="L13" s="10">
        <f>K13+(1+$H$14)</f>
        <v>54.898253382605226</v>
      </c>
    </row>
    <row r="14" spans="2:12">
      <c r="B14" s="2"/>
      <c r="C14" s="7"/>
      <c r="D14" s="14">
        <f>D13/C13-1</f>
        <v>40.953181527984682</v>
      </c>
      <c r="E14" s="14">
        <f t="shared" ref="E14:G14" si="2">E13/D13-1</f>
        <v>0.21943511651736314</v>
      </c>
      <c r="F14" s="14">
        <f t="shared" si="2"/>
        <v>0.43297545310465613</v>
      </c>
      <c r="G14" s="14">
        <f t="shared" si="2"/>
        <v>0.39165067652104768</v>
      </c>
      <c r="H14" s="15">
        <f>MEDIAN(E14:G14)</f>
        <v>0.39165067652104768</v>
      </c>
      <c r="I14" s="17"/>
      <c r="J14" s="17"/>
      <c r="K14" s="17"/>
      <c r="L14" s="17"/>
    </row>
    <row r="15" spans="2:12">
      <c r="B15" s="2" t="s">
        <v>13</v>
      </c>
      <c r="C15" s="10">
        <f>213.16/100</f>
        <v>2.1316000000000002</v>
      </c>
      <c r="D15" s="10">
        <f>188.81/100</f>
        <v>1.8881000000000001</v>
      </c>
      <c r="E15" s="10">
        <f>203.99/100</f>
        <v>2.0399000000000003</v>
      </c>
      <c r="F15" s="10">
        <f>217.58/100</f>
        <v>2.1758000000000002</v>
      </c>
      <c r="G15" s="7">
        <v>3.22</v>
      </c>
      <c r="H15" s="10">
        <f>G15+(1+$H$16)</f>
        <v>4.3003982839891961</v>
      </c>
      <c r="I15" s="10">
        <f>H15+(1+$H$16)</f>
        <v>5.3807965679783916</v>
      </c>
      <c r="J15" s="10">
        <f>I15+(1+$H$16)</f>
        <v>6.461194851967587</v>
      </c>
      <c r="K15" s="10">
        <f>J15+(1+$H$16)</f>
        <v>7.5415931359567825</v>
      </c>
      <c r="L15" s="10">
        <f>K15+(1+$H$16)</f>
        <v>8.621991419945978</v>
      </c>
    </row>
    <row r="16" spans="2:12">
      <c r="B16" s="2"/>
      <c r="C16" s="7"/>
      <c r="D16" s="12">
        <f>D15/C15-1</f>
        <v>-0.11423343966973165</v>
      </c>
      <c r="E16" s="12">
        <f t="shared" ref="E16:G16" si="3">E15/D15-1</f>
        <v>8.0398283989195463E-2</v>
      </c>
      <c r="F16" s="12">
        <f t="shared" si="3"/>
        <v>6.6620912789842501E-2</v>
      </c>
      <c r="G16" s="12">
        <f t="shared" si="3"/>
        <v>0.47991543340380538</v>
      </c>
      <c r="H16" s="16">
        <f>MEDIAN(E16:G16)</f>
        <v>8.0398283989195463E-2</v>
      </c>
      <c r="I16" s="12"/>
      <c r="J16" s="17"/>
      <c r="K16" s="17"/>
      <c r="L16" s="17"/>
    </row>
    <row r="17" spans="2:12">
      <c r="B17" s="2" t="s">
        <v>14</v>
      </c>
      <c r="C17" s="10">
        <f xml:space="preserve"> 118.07 /100</f>
        <v>1.1806999999999999</v>
      </c>
      <c r="D17" s="10">
        <f>178.16/100</f>
        <v>1.7816000000000001</v>
      </c>
      <c r="E17" s="10">
        <f>326.72/100</f>
        <v>3.2672000000000003</v>
      </c>
      <c r="F17" s="10">
        <f>389.97/100</f>
        <v>3.8997000000000002</v>
      </c>
      <c r="G17" s="7">
        <v>5.45</v>
      </c>
      <c r="H17" s="10">
        <f>G17+(1+$H$18)</f>
        <v>6.7455671215429387</v>
      </c>
      <c r="I17" s="10">
        <f>H17+(1+$H$18)</f>
        <v>8.0411342430858781</v>
      </c>
      <c r="J17" s="10">
        <f>I17+(1+$H$18)</f>
        <v>9.3367013646288175</v>
      </c>
      <c r="K17" s="10">
        <f>J17+(1+$H$18)</f>
        <v>10.632268486171757</v>
      </c>
      <c r="L17" s="10">
        <f>K17+(1+$H$18)</f>
        <v>11.927835607714696</v>
      </c>
    </row>
    <row r="18" spans="2:12">
      <c r="B18" s="2"/>
      <c r="C18" s="7"/>
      <c r="D18" s="14">
        <f>D17/C17-1</f>
        <v>0.50893537731854011</v>
      </c>
      <c r="E18" s="14">
        <f t="shared" ref="E18:G18" si="4">E17/D17-1</f>
        <v>0.83385720700493948</v>
      </c>
      <c r="F18" s="14">
        <f t="shared" si="4"/>
        <v>0.19359084231145918</v>
      </c>
      <c r="G18" s="14">
        <f t="shared" si="4"/>
        <v>0.39754340077441852</v>
      </c>
      <c r="H18" s="15">
        <f>MEDIAN(F18:G18)</f>
        <v>0.29556712154293885</v>
      </c>
      <c r="I18" s="17"/>
      <c r="J18" s="17"/>
      <c r="K18" s="17"/>
      <c r="L18" s="17"/>
    </row>
    <row r="19" spans="2:12">
      <c r="B19" s="2" t="s">
        <v>15</v>
      </c>
      <c r="C19" s="10">
        <f xml:space="preserve"> 28.74/100</f>
        <v>0.28739999999999999</v>
      </c>
      <c r="D19" s="10">
        <f>107.04/100</f>
        <v>1.0704</v>
      </c>
      <c r="E19" s="10">
        <f>67.38/100</f>
        <v>0.67379999999999995</v>
      </c>
      <c r="F19" s="10">
        <f>343.07/100</f>
        <v>3.4306999999999999</v>
      </c>
      <c r="G19" s="7">
        <v>0.98</v>
      </c>
      <c r="H19" s="10">
        <f>G19*(1+$H$20)</f>
        <v>0.44841874381818286</v>
      </c>
      <c r="I19" s="10">
        <f>H19*(1+$H$20)</f>
        <v>0.20518303041579297</v>
      </c>
      <c r="J19" s="10">
        <f>I19*(1+$H$20)</f>
        <v>9.3885629338630497E-2</v>
      </c>
      <c r="K19" s="10">
        <f>J19*(1+$H$20)</f>
        <v>4.2959261194498187E-2</v>
      </c>
      <c r="L19" s="10">
        <f>K19*(1+$H$20)</f>
        <v>1.965687544917764E-2</v>
      </c>
    </row>
    <row r="20" spans="2:12">
      <c r="B20" s="7"/>
      <c r="C20" s="8"/>
      <c r="D20" s="12">
        <f>D19/C19-1</f>
        <v>2.7244258872651361</v>
      </c>
      <c r="E20" s="12">
        <f t="shared" ref="E20:G20" si="5">E19/D19-1</f>
        <v>-0.37051569506726467</v>
      </c>
      <c r="F20" s="12">
        <f t="shared" si="5"/>
        <v>4.091570198872069</v>
      </c>
      <c r="G20" s="12">
        <f t="shared" si="5"/>
        <v>-0.7143440114262396</v>
      </c>
      <c r="H20" s="16">
        <f>MEDIAN(E20,G20)</f>
        <v>-0.54242985324675219</v>
      </c>
      <c r="I20" s="7"/>
      <c r="J20" s="7"/>
      <c r="K20" s="7"/>
      <c r="L20" s="7"/>
    </row>
    <row r="21" spans="2:12">
      <c r="B21" s="7"/>
      <c r="C21" s="8"/>
      <c r="D21" s="12"/>
      <c r="E21" s="12"/>
      <c r="F21" s="12"/>
      <c r="G21" s="12"/>
      <c r="H21" s="7"/>
      <c r="I21" s="7"/>
      <c r="J21" s="7"/>
      <c r="K21" s="7"/>
      <c r="L21" s="7"/>
    </row>
    <row r="22" spans="2:12">
      <c r="B22" s="62" t="s">
        <v>16</v>
      </c>
      <c r="C22" s="63">
        <f>'INCOME STATEMENT'!D8</f>
        <v>1386.3488</v>
      </c>
      <c r="D22" s="63">
        <f>'INCOME STATEMENT'!E8</f>
        <v>2040.1048999999998</v>
      </c>
      <c r="E22" s="63">
        <f>'INCOME STATEMENT'!F8</f>
        <v>2598.1306</v>
      </c>
      <c r="F22" s="63">
        <f>'INCOME STATEMENT'!G8</f>
        <v>2754.7125000000001</v>
      </c>
      <c r="G22" s="63">
        <f>'INCOME STATEMENT'!H8</f>
        <v>3564.38</v>
      </c>
      <c r="H22" s="64">
        <f>SUM(H9+H11+H13+H15+H17+H19)</f>
        <v>4573.0094354166677</v>
      </c>
      <c r="I22" s="64">
        <f t="shared" ref="I22:L22" si="6">SUM(I9+I11+I13+I15+I17+I19)</f>
        <v>5870.1725603948662</v>
      </c>
      <c r="J22" s="64">
        <f t="shared" si="6"/>
        <v>7538.352637210297</v>
      </c>
      <c r="K22" s="64">
        <f t="shared" si="6"/>
        <v>9683.8104837494775</v>
      </c>
      <c r="L22" s="64">
        <f t="shared" si="6"/>
        <v>12443.331133122892</v>
      </c>
    </row>
    <row r="23" spans="2:1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2:12">
      <c r="B24" s="65" t="s">
        <v>17</v>
      </c>
      <c r="C24" s="66"/>
      <c r="D24" s="67"/>
      <c r="E24" s="67"/>
      <c r="F24" s="67"/>
      <c r="G24" s="67"/>
      <c r="H24" s="67"/>
      <c r="I24" s="67"/>
      <c r="J24" s="67"/>
      <c r="K24" s="67"/>
      <c r="L24" s="67"/>
    </row>
    <row r="25" spans="2:1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2:12">
      <c r="B26" s="2" t="s">
        <v>18</v>
      </c>
      <c r="C26" s="13">
        <f>C22</f>
        <v>1386.3488</v>
      </c>
      <c r="D26" s="13">
        <f t="shared" ref="D26:G26" si="7">D22</f>
        <v>2040.1048999999998</v>
      </c>
      <c r="E26" s="13">
        <f t="shared" si="7"/>
        <v>2598.1306</v>
      </c>
      <c r="F26" s="13">
        <f t="shared" si="7"/>
        <v>2754.7125000000001</v>
      </c>
      <c r="G26" s="13">
        <f t="shared" si="7"/>
        <v>3564.38</v>
      </c>
      <c r="H26" s="8">
        <f>H22</f>
        <v>4573.0094354166677</v>
      </c>
      <c r="I26" s="8">
        <f t="shared" ref="I26:L26" si="8">I22</f>
        <v>5870.1725603948662</v>
      </c>
      <c r="J26" s="8">
        <f t="shared" si="8"/>
        <v>7538.352637210297</v>
      </c>
      <c r="K26" s="8">
        <f t="shared" si="8"/>
        <v>9683.8104837494775</v>
      </c>
      <c r="L26" s="8">
        <f t="shared" si="8"/>
        <v>12443.331133122892</v>
      </c>
    </row>
    <row r="27" spans="2:12">
      <c r="B27" s="2" t="s">
        <v>19</v>
      </c>
      <c r="C27" s="8">
        <f>'INCOME STATEMENT'!D9</f>
        <v>2.6601999999999997</v>
      </c>
      <c r="D27" s="8">
        <f>'INCOME STATEMENT'!E9</f>
        <v>3.6867000000000001</v>
      </c>
      <c r="E27" s="8">
        <f>'INCOME STATEMENT'!F9</f>
        <v>4.5064000000000002</v>
      </c>
      <c r="F27" s="8">
        <f>'INCOME STATEMENT'!G9</f>
        <v>7.1673999999999998</v>
      </c>
      <c r="G27" s="8">
        <f>'INCOME STATEMENT'!H9</f>
        <v>14.55</v>
      </c>
      <c r="H27" s="8">
        <f>G27*(1+$H$28)</f>
        <v>14.598625554101888</v>
      </c>
      <c r="I27" s="8">
        <f>H27*(1+$H$28)</f>
        <v>14.647413612981214</v>
      </c>
      <c r="J27" s="8">
        <f>I27*(1+$H$28)</f>
        <v>14.696364719722848</v>
      </c>
      <c r="K27" s="8">
        <f>J27*(1+$H$28)</f>
        <v>14.745479419226625</v>
      </c>
      <c r="L27" s="8">
        <f>K27*(1+$H$28)</f>
        <v>14.79475825821342</v>
      </c>
    </row>
    <row r="28" spans="2:12">
      <c r="B28" s="1" t="s">
        <v>20</v>
      </c>
      <c r="C28" s="12">
        <f>C27/C26</f>
        <v>1.9188533217614498E-3</v>
      </c>
      <c r="D28" s="12">
        <f t="shared" ref="D28:G28" si="9">D27/D26</f>
        <v>1.8071129577699658E-3</v>
      </c>
      <c r="E28" s="12">
        <f t="shared" si="9"/>
        <v>1.7344778588112546E-3</v>
      </c>
      <c r="F28" s="12">
        <f t="shared" si="9"/>
        <v>2.6018686160533991E-3</v>
      </c>
      <c r="G28" s="12">
        <f t="shared" si="9"/>
        <v>4.0820563464052653E-3</v>
      </c>
      <c r="H28" s="18">
        <f>MEDIAN(F28:G28)</f>
        <v>3.341962481229332E-3</v>
      </c>
      <c r="I28" s="7"/>
      <c r="J28" s="7"/>
      <c r="K28" s="7"/>
      <c r="L28" s="7"/>
    </row>
    <row r="29" spans="2:12">
      <c r="B29" s="1"/>
      <c r="C29" s="12"/>
      <c r="D29" s="12"/>
      <c r="E29" s="12"/>
      <c r="F29" s="12"/>
      <c r="G29" s="12"/>
      <c r="H29" s="19"/>
      <c r="I29" s="7"/>
      <c r="J29" s="7"/>
      <c r="K29" s="7"/>
      <c r="L29" s="7"/>
    </row>
    <row r="30" spans="2:12">
      <c r="B30" s="2" t="s">
        <v>21</v>
      </c>
      <c r="C30" s="8">
        <f>'INCOME STATEMENT'!D12+'INCOME STATEMENT'!D13+'INCOME STATEMENT'!D14+'INCOME STATEMENT'!D18</f>
        <v>1248.4623000000001</v>
      </c>
      <c r="D30" s="8">
        <f>'INCOME STATEMENT'!E12+'INCOME STATEMENT'!E13+'INCOME STATEMENT'!E14+'INCOME STATEMENT'!E18</f>
        <v>1857.6858999999999</v>
      </c>
      <c r="E30" s="8">
        <f>'INCOME STATEMENT'!F12+'INCOME STATEMENT'!F13+'INCOME STATEMENT'!F14+'INCOME STATEMENT'!F18</f>
        <v>2338.1798999999996</v>
      </c>
      <c r="F30" s="8">
        <f>'INCOME STATEMENT'!G12+'INCOME STATEMENT'!G13+'INCOME STATEMENT'!G14+'INCOME STATEMENT'!G18</f>
        <v>2405.8504000000003</v>
      </c>
      <c r="G30" s="8">
        <f>'INCOME STATEMENT'!H12+'INCOME STATEMENT'!H13+'INCOME STATEMENT'!H14+'INCOME STATEMENT'!H18</f>
        <v>2975.5699999999997</v>
      </c>
      <c r="H30" s="10">
        <f>H26*$H$31</f>
        <v>3905.7278986315032</v>
      </c>
      <c r="I30" s="10">
        <f>I26*$H$31</f>
        <v>5013.6123842977249</v>
      </c>
      <c r="J30" s="10">
        <f>J26*$H$31</f>
        <v>6438.3760017744116</v>
      </c>
      <c r="K30" s="10">
        <f>K26*$H$31</f>
        <v>8270.7742692410175</v>
      </c>
      <c r="L30" s="10">
        <f>L26*$H$31</f>
        <v>10627.632906714054</v>
      </c>
    </row>
    <row r="31" spans="2:12">
      <c r="B31" s="1" t="s">
        <v>22</v>
      </c>
      <c r="C31" s="12">
        <f>C30/C22</f>
        <v>0.90053982085893547</v>
      </c>
      <c r="D31" s="12">
        <f t="shared" ref="D31:G31" si="10">D30/D22</f>
        <v>0.91058351950431571</v>
      </c>
      <c r="E31" s="12">
        <f t="shared" si="10"/>
        <v>0.89994702344832078</v>
      </c>
      <c r="F31" s="12">
        <f t="shared" si="10"/>
        <v>0.87335807275713895</v>
      </c>
      <c r="G31" s="12">
        <f t="shared" si="10"/>
        <v>0.83480717544145111</v>
      </c>
      <c r="H31" s="18">
        <f>MEDIAN(F31:G31)</f>
        <v>0.85408262409929503</v>
      </c>
      <c r="I31" s="7"/>
      <c r="J31" s="7"/>
      <c r="K31" s="19"/>
      <c r="L31" s="7"/>
    </row>
    <row r="32" spans="2:12"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2:12">
      <c r="B33" s="2" t="s">
        <v>23</v>
      </c>
      <c r="C33" s="8">
        <f>'INCOME STATEMENT'!D15</f>
        <v>30.6021</v>
      </c>
      <c r="D33" s="8">
        <f>'INCOME STATEMENT'!E15</f>
        <v>40.804699999999997</v>
      </c>
      <c r="E33" s="8">
        <f>'INCOME STATEMENT'!F15</f>
        <v>55.605800000000002</v>
      </c>
      <c r="F33" s="8">
        <f>'INCOME STATEMENT'!G15</f>
        <v>82.618200000000002</v>
      </c>
      <c r="G33" s="8">
        <f>'INCOME STATEMENT'!H15</f>
        <v>222.37</v>
      </c>
      <c r="H33" s="10">
        <f>H22*$H$34</f>
        <v>211.2234498309754</v>
      </c>
      <c r="I33" s="10">
        <f>I22*$H$34</f>
        <v>271.13832079744196</v>
      </c>
      <c r="J33" s="10">
        <f>J22*$H$34</f>
        <v>348.1901519253941</v>
      </c>
      <c r="K33" s="10">
        <f>K22*$H$34</f>
        <v>447.28704079320607</v>
      </c>
      <c r="L33" s="10">
        <f>L22*$H$34</f>
        <v>574.74697274223286</v>
      </c>
    </row>
    <row r="34" spans="2:12">
      <c r="B34" s="1" t="s">
        <v>24</v>
      </c>
      <c r="C34" s="12">
        <f>C33/C26</f>
        <v>2.2073882128364811E-2</v>
      </c>
      <c r="D34" s="12">
        <f>D33/D26</f>
        <v>2.0001275424611744E-2</v>
      </c>
      <c r="E34" s="12">
        <f>E33/E26</f>
        <v>2.1402234360351248E-2</v>
      </c>
      <c r="F34" s="12">
        <f>F33/F26</f>
        <v>2.999158714384895E-2</v>
      </c>
      <c r="G34" s="12">
        <f>G33/G26</f>
        <v>6.2386726443308511E-2</v>
      </c>
      <c r="H34" s="18">
        <f>MEDIAN(F34:G34)</f>
        <v>4.6189156793578726E-2</v>
      </c>
      <c r="I34" s="7"/>
      <c r="J34" s="7"/>
      <c r="K34" s="7"/>
      <c r="L34" s="7"/>
    </row>
    <row r="35" spans="2:1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2:12">
      <c r="B36" s="2" t="s">
        <v>25</v>
      </c>
      <c r="C36" s="8">
        <f>'INCOME STATEMENT'!D19</f>
        <v>24.047699999999999</v>
      </c>
      <c r="D36" s="8">
        <f>'INCOME STATEMENT'!E19</f>
        <v>26.744499999999999</v>
      </c>
      <c r="E36" s="8">
        <f>'INCOME STATEMENT'!F19</f>
        <v>31.135100000000001</v>
      </c>
      <c r="F36" s="8">
        <f>'INCOME STATEMENT'!G19</f>
        <v>44.517600000000002</v>
      </c>
      <c r="G36" s="8">
        <f>'INCOME STATEMENT'!H19</f>
        <v>73.290000000000006</v>
      </c>
      <c r="H36" s="10">
        <f>H26*$H$37</f>
        <v>73.902232934328012</v>
      </c>
      <c r="I36" s="10">
        <f>I26*$H$37</f>
        <v>94.865069939107798</v>
      </c>
      <c r="J36" s="10">
        <f>J26*$H$37</f>
        <v>121.82373563929924</v>
      </c>
      <c r="K36" s="10">
        <f>K26*$H$37</f>
        <v>156.49546063023482</v>
      </c>
      <c r="L36" s="10">
        <f>L26*$H$37</f>
        <v>201.09076284799653</v>
      </c>
    </row>
    <row r="37" spans="2:12">
      <c r="B37" s="1" t="s">
        <v>26</v>
      </c>
      <c r="C37" s="12">
        <f>C36/C26</f>
        <v>1.7346067598572594E-2</v>
      </c>
      <c r="D37" s="12">
        <f>D36/D26</f>
        <v>1.310937491498599E-2</v>
      </c>
      <c r="E37" s="12">
        <f>E36/E26</f>
        <v>1.1983654709274431E-2</v>
      </c>
      <c r="F37" s="12">
        <f>F36/F26</f>
        <v>1.6160524918662111E-2</v>
      </c>
      <c r="G37" s="12">
        <f>G36/G26</f>
        <v>2.0561780730449616E-2</v>
      </c>
      <c r="H37" s="18">
        <f>MEDIAN(C37:G37)</f>
        <v>1.6160524918662111E-2</v>
      </c>
      <c r="I37" s="7"/>
      <c r="J37" s="7"/>
      <c r="K37" s="7"/>
      <c r="L37" s="7"/>
    </row>
    <row r="38" spans="2:12">
      <c r="B38" s="2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>
      <c r="B39" s="2" t="s">
        <v>27</v>
      </c>
      <c r="C39" s="8">
        <f>'INCOME STATEMENT'!D23</f>
        <v>48.066299999999714</v>
      </c>
      <c r="D39" s="8">
        <f>'INCOME STATEMENT'!E23</f>
        <v>71.481799999999865</v>
      </c>
      <c r="E39" s="8">
        <f>'INCOME STATEMENT'!F23</f>
        <v>104.50910000000067</v>
      </c>
      <c r="F39" s="8">
        <f>'INCOME STATEMENT'!G23</f>
        <v>117.41409999999996</v>
      </c>
      <c r="G39" s="8">
        <f>'INCOME STATEMENT'!H23</f>
        <v>147.93000000000075</v>
      </c>
      <c r="H39" s="8">
        <f ca="1">'INCOME STATEMENT'!I23</f>
        <v>218.83220935142799</v>
      </c>
      <c r="I39" s="8">
        <f ca="1">'INCOME STATEMENT'!J23</f>
        <v>270.37395453858517</v>
      </c>
      <c r="J39" s="8">
        <f ca="1">'INCOME STATEMENT'!K23</f>
        <v>341.59615340211985</v>
      </c>
      <c r="K39" s="8">
        <f ca="1">'INCOME STATEMENT'!L23</f>
        <v>433.25863915119953</v>
      </c>
      <c r="L39" s="8">
        <f ca="1">'INCOME STATEMENT'!M23</f>
        <v>551.16614347004906</v>
      </c>
    </row>
    <row r="40" spans="2:12">
      <c r="B40" s="2" t="s">
        <v>28</v>
      </c>
      <c r="C40" s="10">
        <f>'INCOME STATEMENT'!D30</f>
        <v>13.6691</v>
      </c>
      <c r="D40" s="10">
        <f>'INCOME STATEMENT'!E30</f>
        <v>26.8186</v>
      </c>
      <c r="E40" s="10">
        <f>'INCOME STATEMENT'!F30</f>
        <v>33.392000000000003</v>
      </c>
      <c r="F40" s="10">
        <f>'INCOME STATEMENT'!G30</f>
        <v>24.688700000000004</v>
      </c>
      <c r="G40" s="10">
        <f>'INCOME STATEMENT'!H30</f>
        <v>38.29</v>
      </c>
      <c r="H40" s="10">
        <f ca="1">H39*$H$41</f>
        <v>51.328074706772085</v>
      </c>
      <c r="I40" s="10">
        <f ca="1">I39*$H$41</f>
        <v>63.417421861492258</v>
      </c>
      <c r="J40" s="10">
        <f ca="1">J39*$H$41</f>
        <v>80.122907561622043</v>
      </c>
      <c r="K40" s="10">
        <f ca="1">K39*$H$41</f>
        <v>101.62275408915741</v>
      </c>
      <c r="L40" s="10">
        <f ca="1">L39*$H$41</f>
        <v>129.27848725615186</v>
      </c>
    </row>
    <row r="41" spans="2:12">
      <c r="B41" s="1" t="s">
        <v>29</v>
      </c>
      <c r="C41" s="12">
        <f>C40/C39</f>
        <v>0.28438011663057239</v>
      </c>
      <c r="D41" s="12">
        <f t="shared" ref="D41:G41" si="11">D40/D39</f>
        <v>0.37518081525647157</v>
      </c>
      <c r="E41" s="12">
        <f t="shared" si="11"/>
        <v>0.3195128462497504</v>
      </c>
      <c r="F41" s="12">
        <f t="shared" si="11"/>
        <v>0.21027031676774777</v>
      </c>
      <c r="G41" s="12">
        <f t="shared" si="11"/>
        <v>0.25883863989724737</v>
      </c>
      <c r="H41" s="18">
        <f>MEDIAN(F41:G41)</f>
        <v>0.23455447833249757</v>
      </c>
      <c r="I41" s="7"/>
      <c r="J41" s="7"/>
      <c r="K41" s="7"/>
      <c r="L41" s="7"/>
    </row>
    <row r="42" spans="2:1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2:12">
      <c r="B43" s="2" t="s">
        <v>30</v>
      </c>
      <c r="C43" s="8">
        <f>'INCOME STATEMENT'!D31</f>
        <v>34.397199999999714</v>
      </c>
      <c r="D43" s="8">
        <f>'INCOME STATEMENT'!E31</f>
        <v>44.663199999999861</v>
      </c>
      <c r="E43" s="8">
        <f>'INCOME STATEMENT'!F31</f>
        <v>71.117100000000676</v>
      </c>
      <c r="F43" s="8">
        <f>'INCOME STATEMENT'!G31</f>
        <v>92.725399999999951</v>
      </c>
      <c r="G43" s="8">
        <f>'INCOME STATEMENT'!H31</f>
        <v>109.64000000000075</v>
      </c>
      <c r="H43" s="8">
        <f ca="1">H39-H40</f>
        <v>167.50413464465589</v>
      </c>
      <c r="I43" s="8">
        <f t="shared" ref="I43:L43" ca="1" si="12">I39-I40</f>
        <v>206.95653267709292</v>
      </c>
      <c r="J43" s="8">
        <f t="shared" ca="1" si="12"/>
        <v>261.47324584049784</v>
      </c>
      <c r="K43" s="8">
        <f t="shared" ca="1" si="12"/>
        <v>331.63588506204212</v>
      </c>
      <c r="L43" s="8">
        <f t="shared" ca="1" si="12"/>
        <v>421.88765621389723</v>
      </c>
    </row>
    <row r="44" spans="2:12">
      <c r="B44" s="21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2:12"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2:12">
      <c r="B46" s="25" t="s">
        <v>31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2:12">
      <c r="B47" s="1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2:12">
      <c r="B48" s="27" t="s">
        <v>21</v>
      </c>
      <c r="C48" s="28">
        <f t="shared" ref="C48:L48" si="13">C30</f>
        <v>1248.4623000000001</v>
      </c>
      <c r="D48" s="28">
        <f t="shared" si="13"/>
        <v>1857.6858999999999</v>
      </c>
      <c r="E48" s="28">
        <f t="shared" si="13"/>
        <v>2338.1798999999996</v>
      </c>
      <c r="F48" s="28">
        <f t="shared" si="13"/>
        <v>2405.8504000000003</v>
      </c>
      <c r="G48" s="28">
        <f t="shared" si="13"/>
        <v>2975.5699999999997</v>
      </c>
      <c r="H48" s="28">
        <f t="shared" si="13"/>
        <v>3905.7278986315032</v>
      </c>
      <c r="I48" s="28">
        <f t="shared" si="13"/>
        <v>5013.6123842977249</v>
      </c>
      <c r="J48" s="28">
        <f t="shared" si="13"/>
        <v>6438.3760017744116</v>
      </c>
      <c r="K48" s="28">
        <f t="shared" si="13"/>
        <v>8270.7742692410175</v>
      </c>
      <c r="L48" s="28">
        <f t="shared" si="13"/>
        <v>10627.632906714054</v>
      </c>
    </row>
    <row r="49" spans="2:12">
      <c r="B49" s="22" t="s">
        <v>32</v>
      </c>
      <c r="C49" s="10">
        <f>'BALANCE SHEET'!C24</f>
        <v>169.08340000000001</v>
      </c>
      <c r="D49" s="10">
        <f>'BALANCE SHEET'!D24</f>
        <v>237.76939999999999</v>
      </c>
      <c r="E49" s="10">
        <f>'BALANCE SHEET'!E24</f>
        <v>333.9117</v>
      </c>
      <c r="F49" s="10">
        <f>'BALANCE SHEET'!F24</f>
        <v>493.40030000000002</v>
      </c>
      <c r="G49" s="10">
        <f>'BALANCE SHEET'!G24</f>
        <v>752.82</v>
      </c>
      <c r="H49" s="10">
        <f>(H48*$H$51)/365</f>
        <v>988.15019530636778</v>
      </c>
      <c r="I49" s="10">
        <f>(I48*$H$51)/365</f>
        <v>1268.4452643181016</v>
      </c>
      <c r="J49" s="10">
        <f>(J48*$H$51)/365</f>
        <v>1628.9108378078195</v>
      </c>
      <c r="K49" s="10">
        <f>(K48*$H$51)/365</f>
        <v>2092.5080859700911</v>
      </c>
      <c r="L49" s="10">
        <f>(L48*$H$51)/365</f>
        <v>2688.7939469857793</v>
      </c>
    </row>
    <row r="50" spans="2:12">
      <c r="B50" s="2" t="s">
        <v>135</v>
      </c>
      <c r="C50" s="10">
        <f>C48/C49</f>
        <v>7.3837070936591056</v>
      </c>
      <c r="D50" s="10">
        <f t="shared" ref="D50:G50" si="14">D48/D49</f>
        <v>7.8129729897959956</v>
      </c>
      <c r="E50" s="10">
        <f t="shared" si="14"/>
        <v>7.0023898533654245</v>
      </c>
      <c r="F50" s="10">
        <f t="shared" si="14"/>
        <v>4.8760618913284004</v>
      </c>
      <c r="G50" s="10">
        <f t="shared" si="14"/>
        <v>3.9525650221832569</v>
      </c>
      <c r="H50" s="33"/>
      <c r="I50" s="7"/>
      <c r="J50" s="7"/>
      <c r="K50" s="7"/>
      <c r="L50" s="7"/>
    </row>
    <row r="51" spans="2:12">
      <c r="B51" s="23" t="s">
        <v>136</v>
      </c>
      <c r="C51" s="34">
        <f>365/C50</f>
        <v>49.433163500411666</v>
      </c>
      <c r="D51" s="34">
        <f t="shared" ref="D51:G51" si="15">365/D50</f>
        <v>46.717171616579527</v>
      </c>
      <c r="E51" s="34">
        <f t="shared" si="15"/>
        <v>52.125061249564254</v>
      </c>
      <c r="F51" s="34">
        <f t="shared" si="15"/>
        <v>74.855489559949362</v>
      </c>
      <c r="G51" s="34">
        <f t="shared" si="15"/>
        <v>92.345096905802933</v>
      </c>
      <c r="H51" s="36">
        <f>G51</f>
        <v>92.345096905802933</v>
      </c>
      <c r="I51" s="7"/>
      <c r="J51" s="7"/>
      <c r="K51" s="7"/>
      <c r="L51" s="7"/>
    </row>
    <row r="52" spans="2:12">
      <c r="B52" s="23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2:12">
      <c r="B53" s="24" t="s">
        <v>18</v>
      </c>
      <c r="C53" s="8">
        <f t="shared" ref="C53:L53" si="16">C26</f>
        <v>1386.3488</v>
      </c>
      <c r="D53" s="8">
        <f t="shared" si="16"/>
        <v>2040.1048999999998</v>
      </c>
      <c r="E53" s="8">
        <f t="shared" si="16"/>
        <v>2598.1306</v>
      </c>
      <c r="F53" s="8">
        <f t="shared" si="16"/>
        <v>2754.7125000000001</v>
      </c>
      <c r="G53" s="8">
        <f t="shared" si="16"/>
        <v>3564.38</v>
      </c>
      <c r="H53" s="8">
        <f t="shared" si="16"/>
        <v>4573.0094354166677</v>
      </c>
      <c r="I53" s="8">
        <f t="shared" si="16"/>
        <v>5870.1725603948662</v>
      </c>
      <c r="J53" s="8">
        <f t="shared" si="16"/>
        <v>7538.352637210297</v>
      </c>
      <c r="K53" s="8">
        <f t="shared" si="16"/>
        <v>9683.8104837494775</v>
      </c>
      <c r="L53" s="8">
        <f t="shared" si="16"/>
        <v>12443.331133122892</v>
      </c>
    </row>
    <row r="54" spans="2:12">
      <c r="B54" s="24" t="s">
        <v>33</v>
      </c>
      <c r="C54" s="10">
        <f>'BALANCE SHEET'!C26</f>
        <v>49.688199999999995</v>
      </c>
      <c r="D54" s="10">
        <f>'BALANCE SHEET'!D26</f>
        <v>72.190200000000004</v>
      </c>
      <c r="E54" s="10">
        <f>'BALANCE SHEET'!E26</f>
        <v>104.4858</v>
      </c>
      <c r="F54" s="10">
        <f>'BALANCE SHEET'!F26</f>
        <v>175.774</v>
      </c>
      <c r="G54" s="10">
        <f>'BALANCE SHEET'!G26</f>
        <v>209.31</v>
      </c>
      <c r="H54" s="10">
        <f>(H53*$H$55)/365</f>
        <v>268.53943881602487</v>
      </c>
      <c r="I54" s="10">
        <f>(I53*$H$55)/365</f>
        <v>344.71235351344399</v>
      </c>
      <c r="J54" s="10">
        <f>(J53*$H$55)/365</f>
        <v>442.67238355463979</v>
      </c>
      <c r="K54" s="10">
        <f>(K53*$H$55)/365</f>
        <v>568.65945055061559</v>
      </c>
      <c r="L54" s="10">
        <f>(L53*$H$55)/365</f>
        <v>730.70594029647577</v>
      </c>
    </row>
    <row r="55" spans="2:12">
      <c r="B55" s="23" t="s">
        <v>139</v>
      </c>
      <c r="C55" s="34">
        <f>(365*C54)/C53</f>
        <v>13.081984129823605</v>
      </c>
      <c r="D55" s="34">
        <f t="shared" ref="D55:G55" si="17">(365*D54)/D53</f>
        <v>12.915719676963672</v>
      </c>
      <c r="E55" s="34">
        <f t="shared" si="17"/>
        <v>14.678752869466994</v>
      </c>
      <c r="F55" s="34">
        <f t="shared" si="17"/>
        <v>23.290092886281236</v>
      </c>
      <c r="G55" s="34">
        <f t="shared" si="17"/>
        <v>21.43378371554099</v>
      </c>
      <c r="H55" s="37">
        <f>G55</f>
        <v>21.43378371554099</v>
      </c>
      <c r="I55" s="7"/>
      <c r="J55" s="7"/>
      <c r="K55" s="7"/>
      <c r="L55" s="7"/>
    </row>
    <row r="56" spans="2:12">
      <c r="B56" s="23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2:12">
      <c r="B57" s="24" t="s">
        <v>21</v>
      </c>
      <c r="C57" s="8">
        <f>C30</f>
        <v>1248.4623000000001</v>
      </c>
      <c r="D57" s="8">
        <f t="shared" ref="D57:L57" si="18">D30</f>
        <v>1857.6858999999999</v>
      </c>
      <c r="E57" s="8">
        <f t="shared" si="18"/>
        <v>2338.1798999999996</v>
      </c>
      <c r="F57" s="8">
        <f t="shared" si="18"/>
        <v>2405.8504000000003</v>
      </c>
      <c r="G57" s="8">
        <f t="shared" si="18"/>
        <v>2975.5699999999997</v>
      </c>
      <c r="H57" s="8">
        <f t="shared" si="18"/>
        <v>3905.7278986315032</v>
      </c>
      <c r="I57" s="8">
        <f t="shared" si="18"/>
        <v>5013.6123842977249</v>
      </c>
      <c r="J57" s="8">
        <f t="shared" si="18"/>
        <v>6438.3760017744116</v>
      </c>
      <c r="K57" s="8">
        <f t="shared" si="18"/>
        <v>8270.7742692410175</v>
      </c>
      <c r="L57" s="8">
        <f t="shared" si="18"/>
        <v>10627.632906714054</v>
      </c>
    </row>
    <row r="58" spans="2:12">
      <c r="B58" s="24" t="s">
        <v>34</v>
      </c>
      <c r="C58" s="10">
        <f>SUM('BALANCE SHEET'!C55:C56)</f>
        <v>213.8853</v>
      </c>
      <c r="D58" s="10">
        <f>SUM('BALANCE SHEET'!D55:D56)</f>
        <v>271.14979999999997</v>
      </c>
      <c r="E58" s="10">
        <f>SUM('BALANCE SHEET'!E55:E56)</f>
        <v>335.31279999999998</v>
      </c>
      <c r="F58" s="10">
        <f>SUM('BALANCE SHEET'!F55:F56)</f>
        <v>425.80119999999994</v>
      </c>
      <c r="G58" s="10">
        <f>SUM('BALANCE SHEET'!G55:G56)</f>
        <v>523.97</v>
      </c>
      <c r="H58" s="10">
        <f>(H57*$H$59)/365</f>
        <v>691.2581206673417</v>
      </c>
      <c r="I58" s="10">
        <f>(I57*$H$59)/365</f>
        <v>887.3378700391479</v>
      </c>
      <c r="J58" s="10">
        <f>(J57*$H$59)/365</f>
        <v>1139.5007052835647</v>
      </c>
      <c r="K58" s="10">
        <f>(K57*$H$59)/365</f>
        <v>1463.8090584401871</v>
      </c>
      <c r="L58" s="10">
        <f>(L57*$H$59)/365</f>
        <v>1880.9394153677765</v>
      </c>
    </row>
    <row r="59" spans="2:12">
      <c r="B59" s="23" t="s">
        <v>137</v>
      </c>
      <c r="C59" s="34">
        <f>C58/C57*365</f>
        <v>62.531431265485551</v>
      </c>
      <c r="D59" s="34">
        <f t="shared" ref="D59:G59" si="19">D58/D57*365</f>
        <v>53.275786288736967</v>
      </c>
      <c r="E59" s="34">
        <f t="shared" si="19"/>
        <v>52.343779022307061</v>
      </c>
      <c r="F59" s="34">
        <f t="shared" si="19"/>
        <v>64.59979307109036</v>
      </c>
      <c r="G59" s="34">
        <f t="shared" si="19"/>
        <v>64.273080451812604</v>
      </c>
      <c r="H59" s="37">
        <f>F59</f>
        <v>64.59979307109036</v>
      </c>
      <c r="I59" s="7"/>
      <c r="J59" s="7"/>
      <c r="K59" s="7"/>
      <c r="L59" s="7"/>
    </row>
    <row r="60" spans="2:12">
      <c r="B60" s="23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12">
      <c r="B61" s="24" t="s">
        <v>18</v>
      </c>
      <c r="C61" s="8">
        <f>C26</f>
        <v>1386.3488</v>
      </c>
      <c r="D61" s="8">
        <f t="shared" ref="D61:L61" si="20">D26</f>
        <v>2040.1048999999998</v>
      </c>
      <c r="E61" s="8">
        <f t="shared" si="20"/>
        <v>2598.1306</v>
      </c>
      <c r="F61" s="8">
        <f t="shared" si="20"/>
        <v>2754.7125000000001</v>
      </c>
      <c r="G61" s="8">
        <f t="shared" si="20"/>
        <v>3564.38</v>
      </c>
      <c r="H61" s="8">
        <f t="shared" si="20"/>
        <v>4573.0094354166677</v>
      </c>
      <c r="I61" s="8">
        <f t="shared" si="20"/>
        <v>5870.1725603948662</v>
      </c>
      <c r="J61" s="8">
        <f t="shared" si="20"/>
        <v>7538.352637210297</v>
      </c>
      <c r="K61" s="8">
        <f t="shared" si="20"/>
        <v>9683.8104837494775</v>
      </c>
      <c r="L61" s="8">
        <f t="shared" si="20"/>
        <v>12443.331133122892</v>
      </c>
    </row>
    <row r="62" spans="2:12">
      <c r="B62" s="24" t="s">
        <v>35</v>
      </c>
      <c r="C62" s="10">
        <f>'BALANCE SHEET'!C60</f>
        <v>0</v>
      </c>
      <c r="D62" s="10">
        <f>'BALANCE SHEET'!D60</f>
        <v>0</v>
      </c>
      <c r="E62" s="10">
        <f>'BALANCE SHEET'!E60</f>
        <v>0.95709999999999995</v>
      </c>
      <c r="F62" s="10">
        <f>'BALANCE SHEET'!F60</f>
        <v>1.3984999999999999</v>
      </c>
      <c r="G62" s="10">
        <f>'BALANCE SHEET'!G60</f>
        <v>1.79</v>
      </c>
      <c r="H62" s="10">
        <f>(H61*$H$63)/365</f>
        <v>2.2965247502779826</v>
      </c>
      <c r="I62" s="10">
        <f>(I61*$H$63)/365</f>
        <v>2.9479485585450513</v>
      </c>
      <c r="J62" s="10">
        <f>(J61*$H$63)/365</f>
        <v>3.7856937870278791</v>
      </c>
      <c r="K62" s="10">
        <f>(K61*$H$63)/365</f>
        <v>4.8631236753408906</v>
      </c>
      <c r="L62" s="10">
        <f>(L61*$H$63)/365</f>
        <v>6.2489304530633589</v>
      </c>
    </row>
    <row r="63" spans="2:12">
      <c r="B63" s="23" t="s">
        <v>138</v>
      </c>
      <c r="C63" s="35">
        <f>C62/C61*365</f>
        <v>0</v>
      </c>
      <c r="D63" s="35">
        <f t="shared" ref="D63:G63" si="21">D62/D61*365</f>
        <v>0</v>
      </c>
      <c r="E63" s="35">
        <f t="shared" si="21"/>
        <v>0.13445879125552809</v>
      </c>
      <c r="F63" s="35">
        <f t="shared" si="21"/>
        <v>0.18530155143231825</v>
      </c>
      <c r="G63" s="35">
        <f t="shared" si="21"/>
        <v>0.18329976040713952</v>
      </c>
      <c r="H63" s="38">
        <f>G63</f>
        <v>0.18329976040713952</v>
      </c>
      <c r="I63" s="7"/>
      <c r="J63" s="7"/>
      <c r="K63" s="7"/>
      <c r="L63" s="7"/>
    </row>
    <row r="64" spans="2:12">
      <c r="B64" s="23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2:12">
      <c r="B65" s="23" t="s">
        <v>36</v>
      </c>
      <c r="C65" s="34">
        <f>C51+C55+C59-C63</f>
        <v>125.04657889572081</v>
      </c>
      <c r="D65" s="34">
        <f t="shared" ref="D65:G65" si="22">D51+D55+D59-D63</f>
        <v>112.90867758228016</v>
      </c>
      <c r="E65" s="34">
        <f t="shared" si="22"/>
        <v>119.01313435008278</v>
      </c>
      <c r="F65" s="34">
        <f t="shared" si="22"/>
        <v>162.56007396588862</v>
      </c>
      <c r="G65" s="34">
        <f t="shared" si="22"/>
        <v>177.86866131274937</v>
      </c>
      <c r="H65" s="7"/>
      <c r="I65" s="7"/>
      <c r="J65" s="7"/>
      <c r="K65" s="7"/>
      <c r="L65" s="7"/>
    </row>
    <row r="66" spans="2:12">
      <c r="B66" s="24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2:12">
      <c r="B67" s="24" t="s">
        <v>18</v>
      </c>
      <c r="C67" s="8">
        <f>C22</f>
        <v>1386.3488</v>
      </c>
      <c r="D67" s="8">
        <f t="shared" ref="D67:L67" si="23">D22</f>
        <v>2040.1048999999998</v>
      </c>
      <c r="E67" s="8">
        <f t="shared" si="23"/>
        <v>2598.1306</v>
      </c>
      <c r="F67" s="8">
        <f t="shared" si="23"/>
        <v>2754.7125000000001</v>
      </c>
      <c r="G67" s="8">
        <f t="shared" si="23"/>
        <v>3564.38</v>
      </c>
      <c r="H67" s="8">
        <f t="shared" si="23"/>
        <v>4573.0094354166677</v>
      </c>
      <c r="I67" s="8">
        <f t="shared" si="23"/>
        <v>5870.1725603948662</v>
      </c>
      <c r="J67" s="8">
        <f t="shared" si="23"/>
        <v>7538.352637210297</v>
      </c>
      <c r="K67" s="8">
        <f t="shared" si="23"/>
        <v>9683.8104837494775</v>
      </c>
      <c r="L67" s="8">
        <f t="shared" si="23"/>
        <v>12443.331133122892</v>
      </c>
    </row>
    <row r="68" spans="2:12">
      <c r="B68" s="24" t="s">
        <v>37</v>
      </c>
      <c r="C68" s="10">
        <f>'BALANCE SHEET'!C31</f>
        <v>44.126400000000004</v>
      </c>
      <c r="D68" s="10">
        <f>'BALANCE SHEET'!D31</f>
        <v>54.226999999999997</v>
      </c>
      <c r="E68" s="10">
        <f>'BALANCE SHEET'!E31</f>
        <v>57.487099999999998</v>
      </c>
      <c r="F68" s="10">
        <f>'BALANCE SHEET'!F31</f>
        <v>70.995900000000006</v>
      </c>
      <c r="G68" s="10">
        <f>'BALANCE SHEET'!G31</f>
        <v>61.08</v>
      </c>
      <c r="H68" s="10">
        <f>(H67*$H$69)</f>
        <v>109.52096497419664</v>
      </c>
      <c r="I68" s="10">
        <f>(I67*$H$69)</f>
        <v>140.58728118957362</v>
      </c>
      <c r="J68" s="10">
        <f>(J67*$H$69)</f>
        <v>180.5392415657299</v>
      </c>
      <c r="K68" s="10">
        <f>(K67*$H$69)</f>
        <v>231.92173202040431</v>
      </c>
      <c r="L68" s="10">
        <f>(L67*$H$69)</f>
        <v>298.01067599785341</v>
      </c>
    </row>
    <row r="69" spans="2:12">
      <c r="B69" s="23" t="s">
        <v>38</v>
      </c>
      <c r="C69" s="12">
        <f>C68/C67</f>
        <v>3.1829219313350296E-2</v>
      </c>
      <c r="D69" s="12">
        <f t="shared" ref="D69:G69" si="24">D68/D67</f>
        <v>2.6580495934302204E-2</v>
      </c>
      <c r="E69" s="12">
        <f t="shared" si="24"/>
        <v>2.2126331909566054E-2</v>
      </c>
      <c r="F69" s="12">
        <f t="shared" si="24"/>
        <v>2.5772526171061409E-2</v>
      </c>
      <c r="G69" s="12">
        <f t="shared" si="24"/>
        <v>1.7136220043878599E-2</v>
      </c>
      <c r="H69" s="16">
        <f>AVERAGE(E69:F69)</f>
        <v>2.3949429040313733E-2</v>
      </c>
      <c r="I69" s="7"/>
      <c r="J69" s="7"/>
      <c r="K69" s="7"/>
      <c r="L69" s="7"/>
    </row>
    <row r="70" spans="2:12">
      <c r="B70" s="23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2:12">
      <c r="B71" s="24" t="s">
        <v>18</v>
      </c>
      <c r="C71" s="8">
        <f>C22</f>
        <v>1386.3488</v>
      </c>
      <c r="D71" s="8">
        <f t="shared" ref="D71:L71" si="25">D22</f>
        <v>2040.1048999999998</v>
      </c>
      <c r="E71" s="8">
        <f t="shared" si="25"/>
        <v>2598.1306</v>
      </c>
      <c r="F71" s="8">
        <f t="shared" si="25"/>
        <v>2754.7125000000001</v>
      </c>
      <c r="G71" s="8">
        <f t="shared" si="25"/>
        <v>3564.38</v>
      </c>
      <c r="H71" s="8">
        <f t="shared" si="25"/>
        <v>4573.0094354166677</v>
      </c>
      <c r="I71" s="8">
        <f t="shared" si="25"/>
        <v>5870.1725603948662</v>
      </c>
      <c r="J71" s="8">
        <f t="shared" si="25"/>
        <v>7538.352637210297</v>
      </c>
      <c r="K71" s="8">
        <f t="shared" si="25"/>
        <v>9683.8104837494775</v>
      </c>
      <c r="L71" s="8">
        <f t="shared" si="25"/>
        <v>12443.331133122892</v>
      </c>
    </row>
    <row r="72" spans="2:12">
      <c r="B72" s="24" t="s">
        <v>39</v>
      </c>
      <c r="C72" s="10">
        <f>'BALANCE SHEET'!C59</f>
        <v>1.6171</v>
      </c>
      <c r="D72" s="10">
        <f>'BALANCE SHEET'!D59</f>
        <v>7.769400000000001</v>
      </c>
      <c r="E72" s="10">
        <f>'BALANCE SHEET'!E59</f>
        <v>30.081700000000001</v>
      </c>
      <c r="F72" s="10">
        <f>'BALANCE SHEET'!F59</f>
        <v>30.9939</v>
      </c>
      <c r="G72" s="10">
        <f>'BALANCE SHEET'!G59</f>
        <v>34.700000000000003</v>
      </c>
      <c r="H72" s="10">
        <f>(H71*$H$73)</f>
        <v>52.19961751674866</v>
      </c>
      <c r="I72" s="10">
        <f>(I71*$H$73)</f>
        <v>67.006370036497813</v>
      </c>
      <c r="J72" s="10">
        <f>(J71*$H$73)</f>
        <v>86.048176791679325</v>
      </c>
      <c r="K72" s="10">
        <f>(K71*$H$73)</f>
        <v>110.53797515516081</v>
      </c>
      <c r="L72" s="10">
        <f>(L71*$H$73)</f>
        <v>142.03712783813302</v>
      </c>
    </row>
    <row r="73" spans="2:12">
      <c r="B73" s="23" t="s">
        <v>40</v>
      </c>
      <c r="C73" s="12">
        <f>C72/C71</f>
        <v>1.1664452697618378E-3</v>
      </c>
      <c r="D73" s="12">
        <f t="shared" ref="D73:G73" si="26">D72/D71</f>
        <v>3.8083335812781009E-3</v>
      </c>
      <c r="E73" s="12">
        <f t="shared" si="26"/>
        <v>1.1578209347905761E-2</v>
      </c>
      <c r="F73" s="12">
        <f t="shared" si="26"/>
        <v>1.1251228576484841E-2</v>
      </c>
      <c r="G73" s="12">
        <f t="shared" si="26"/>
        <v>9.7352134172001871E-3</v>
      </c>
      <c r="H73" s="16">
        <f>AVERAGE(E73:F73)</f>
        <v>1.14147189621953E-2</v>
      </c>
      <c r="I73" s="7"/>
      <c r="J73" s="7"/>
      <c r="K73" s="7"/>
      <c r="L73" s="7"/>
    </row>
    <row r="74" spans="2:12">
      <c r="B74" s="45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2:1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2:12">
      <c r="B76" s="50" t="s">
        <v>152</v>
      </c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2:12">
      <c r="B77" s="51" t="s">
        <v>153</v>
      </c>
      <c r="C77" s="10">
        <f>C49+C54+C68</f>
        <v>262.89800000000002</v>
      </c>
      <c r="D77" s="10">
        <f t="shared" ref="D77:L77" si="27">D49+D54+D68</f>
        <v>364.1866</v>
      </c>
      <c r="E77" s="10">
        <f t="shared" si="27"/>
        <v>495.88459999999998</v>
      </c>
      <c r="F77" s="10">
        <f t="shared" si="27"/>
        <v>740.17020000000002</v>
      </c>
      <c r="G77" s="10">
        <f t="shared" si="27"/>
        <v>1023.2100000000002</v>
      </c>
      <c r="H77" s="10">
        <f t="shared" si="27"/>
        <v>1366.2105990965892</v>
      </c>
      <c r="I77" s="10">
        <f t="shared" si="27"/>
        <v>1753.7448990211192</v>
      </c>
      <c r="J77" s="10">
        <f t="shared" si="27"/>
        <v>2252.1224629281892</v>
      </c>
      <c r="K77" s="10">
        <f t="shared" si="27"/>
        <v>2893.0892685411109</v>
      </c>
      <c r="L77" s="10">
        <f t="shared" si="27"/>
        <v>3717.5105632801087</v>
      </c>
    </row>
    <row r="78" spans="2:12">
      <c r="B78" s="51" t="s">
        <v>154</v>
      </c>
      <c r="C78" s="10">
        <f>C58+C62+C72</f>
        <v>215.50239999999999</v>
      </c>
      <c r="D78" s="10">
        <f t="shared" ref="D78:L78" si="28">D58+D62+D72</f>
        <v>278.91919999999999</v>
      </c>
      <c r="E78" s="10">
        <f t="shared" si="28"/>
        <v>366.35160000000002</v>
      </c>
      <c r="F78" s="10">
        <f t="shared" si="28"/>
        <v>458.19359999999995</v>
      </c>
      <c r="G78" s="10">
        <f t="shared" si="28"/>
        <v>560.46</v>
      </c>
      <c r="H78" s="10">
        <f t="shared" si="28"/>
        <v>745.75426293436828</v>
      </c>
      <c r="I78" s="10">
        <f t="shared" si="28"/>
        <v>957.29218863419078</v>
      </c>
      <c r="J78" s="10">
        <f t="shared" si="28"/>
        <v>1229.3345758622718</v>
      </c>
      <c r="K78" s="10">
        <f t="shared" si="28"/>
        <v>1579.2101572706888</v>
      </c>
      <c r="L78" s="10">
        <f t="shared" si="28"/>
        <v>2029.225473658973</v>
      </c>
    </row>
    <row r="79" spans="2:12">
      <c r="B79" s="51" t="s">
        <v>155</v>
      </c>
      <c r="C79" s="10">
        <f>C77-C78</f>
        <v>47.39560000000003</v>
      </c>
      <c r="D79" s="10">
        <f t="shared" ref="D79:L79" si="29">D77-D78</f>
        <v>85.267400000000009</v>
      </c>
      <c r="E79" s="10">
        <f t="shared" si="29"/>
        <v>129.53299999999996</v>
      </c>
      <c r="F79" s="10">
        <f t="shared" si="29"/>
        <v>281.97660000000008</v>
      </c>
      <c r="G79" s="10">
        <f t="shared" si="29"/>
        <v>462.75000000000011</v>
      </c>
      <c r="H79" s="10">
        <f t="shared" si="29"/>
        <v>620.45633616222096</v>
      </c>
      <c r="I79" s="10">
        <f t="shared" si="29"/>
        <v>796.4527103869284</v>
      </c>
      <c r="J79" s="10">
        <f t="shared" si="29"/>
        <v>1022.7878870659174</v>
      </c>
      <c r="K79" s="10">
        <f t="shared" si="29"/>
        <v>1313.8791112704221</v>
      </c>
      <c r="L79" s="10">
        <f t="shared" si="29"/>
        <v>1688.2850896211357</v>
      </c>
    </row>
    <row r="80" spans="2:12">
      <c r="B80" s="50" t="s">
        <v>156</v>
      </c>
      <c r="C80" s="7"/>
      <c r="D80" s="10">
        <f>D79-C79</f>
        <v>37.871799999999979</v>
      </c>
      <c r="E80" s="10">
        <f t="shared" ref="E80:L80" si="30">E79-D79</f>
        <v>44.265599999999949</v>
      </c>
      <c r="F80" s="10">
        <f t="shared" si="30"/>
        <v>152.44360000000012</v>
      </c>
      <c r="G80" s="10">
        <f t="shared" si="30"/>
        <v>180.77340000000004</v>
      </c>
      <c r="H80" s="10">
        <f t="shared" si="30"/>
        <v>157.70633616222085</v>
      </c>
      <c r="I80" s="10">
        <f t="shared" si="30"/>
        <v>175.99637422470744</v>
      </c>
      <c r="J80" s="10">
        <f t="shared" si="30"/>
        <v>226.335176678989</v>
      </c>
      <c r="K80" s="10">
        <f t="shared" si="30"/>
        <v>291.09122420450467</v>
      </c>
      <c r="L80" s="10">
        <f t="shared" si="30"/>
        <v>374.40597835071367</v>
      </c>
    </row>
    <row r="81" spans="2:12">
      <c r="B81" s="50" t="s">
        <v>157</v>
      </c>
      <c r="C81" s="7"/>
      <c r="D81" s="7"/>
      <c r="E81" s="7"/>
      <c r="F81" s="7"/>
      <c r="G81" s="7"/>
      <c r="H81" s="7"/>
      <c r="I81" s="7"/>
      <c r="J81" s="7"/>
      <c r="K81" s="7"/>
      <c r="L8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3855-835B-44CE-8D0F-292D302514CA}">
  <dimension ref="B6:M39"/>
  <sheetViews>
    <sheetView showGridLines="0" zoomScale="85" zoomScaleNormal="85" workbookViewId="0">
      <pane ySplit="6" topLeftCell="A26" activePane="bottomLeft" state="frozen"/>
      <selection pane="bottomLeft" activeCell="I8" sqref="I8"/>
    </sheetView>
  </sheetViews>
  <sheetFormatPr defaultColWidth="8.88671875" defaultRowHeight="15.6"/>
  <cols>
    <col min="1" max="1" width="1.88671875" style="6" customWidth="1"/>
    <col min="2" max="2" width="74.44140625" style="6" bestFit="1" customWidth="1"/>
    <col min="3" max="3" width="1.88671875" style="6" customWidth="1"/>
    <col min="4" max="13" width="12.6640625" style="6" customWidth="1"/>
    <col min="14" max="16384" width="8.88671875" style="6"/>
  </cols>
  <sheetData>
    <row r="6" spans="2:13">
      <c r="B6" s="39" t="s">
        <v>63</v>
      </c>
      <c r="C6" s="3"/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</row>
    <row r="7" spans="2:13" s="47" customFormat="1">
      <c r="B7" s="56"/>
      <c r="C7" s="56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2:13">
      <c r="B8" s="7" t="s">
        <v>41</v>
      </c>
      <c r="C8" s="7"/>
      <c r="D8" s="8">
        <f>138634.88/100</f>
        <v>1386.3488</v>
      </c>
      <c r="E8" s="8">
        <f>204010.49/100</f>
        <v>2040.1048999999998</v>
      </c>
      <c r="F8" s="8">
        <f>259813.06/100</f>
        <v>2598.1306</v>
      </c>
      <c r="G8" s="8">
        <f>275471.25/100</f>
        <v>2754.7125000000001</v>
      </c>
      <c r="H8" s="8">
        <v>3564.38</v>
      </c>
      <c r="I8" s="8">
        <f>ASSUMPTIONS!H26</f>
        <v>4573.0094354166677</v>
      </c>
      <c r="J8" s="8">
        <f>ASSUMPTIONS!I26</f>
        <v>5870.1725603948662</v>
      </c>
      <c r="K8" s="8">
        <f>ASSUMPTIONS!J26</f>
        <v>7538.352637210297</v>
      </c>
      <c r="L8" s="8">
        <f>ASSUMPTIONS!K26</f>
        <v>9683.8104837494775</v>
      </c>
      <c r="M8" s="8">
        <f>ASSUMPTIONS!L26</f>
        <v>12443.331133122892</v>
      </c>
    </row>
    <row r="9" spans="2:13">
      <c r="B9" s="7" t="s">
        <v>42</v>
      </c>
      <c r="C9" s="7"/>
      <c r="D9" s="8">
        <f>266.02/100</f>
        <v>2.6601999999999997</v>
      </c>
      <c r="E9" s="8">
        <f>368.67/100</f>
        <v>3.6867000000000001</v>
      </c>
      <c r="F9" s="8">
        <f>450.64/100</f>
        <v>4.5064000000000002</v>
      </c>
      <c r="G9" s="8">
        <f>716.74/100</f>
        <v>7.1673999999999998</v>
      </c>
      <c r="H9" s="8">
        <v>14.55</v>
      </c>
      <c r="I9" s="8">
        <f>ASSUMPTIONS!H27</f>
        <v>14.598625554101888</v>
      </c>
      <c r="J9" s="8">
        <f>ASSUMPTIONS!I27</f>
        <v>14.647413612981214</v>
      </c>
      <c r="K9" s="8">
        <f>ASSUMPTIONS!J27</f>
        <v>14.696364719722848</v>
      </c>
      <c r="L9" s="8">
        <f>ASSUMPTIONS!K27</f>
        <v>14.745479419226625</v>
      </c>
      <c r="M9" s="8">
        <f>ASSUMPTIONS!L27</f>
        <v>14.79475825821342</v>
      </c>
    </row>
    <row r="10" spans="2:13">
      <c r="B10" s="9" t="s">
        <v>43</v>
      </c>
      <c r="C10" s="7"/>
      <c r="D10" s="57">
        <f>D8+D9</f>
        <v>1389.009</v>
      </c>
      <c r="E10" s="57">
        <f t="shared" ref="E10:H10" si="0">E8+E9</f>
        <v>2043.7915999999998</v>
      </c>
      <c r="F10" s="57">
        <f t="shared" si="0"/>
        <v>2602.6370000000002</v>
      </c>
      <c r="G10" s="57">
        <f t="shared" si="0"/>
        <v>2761.8798999999999</v>
      </c>
      <c r="H10" s="57">
        <f t="shared" si="0"/>
        <v>3578.9300000000003</v>
      </c>
      <c r="I10" s="57">
        <f>SUM(I8:I9)</f>
        <v>4587.6080609707697</v>
      </c>
      <c r="J10" s="57">
        <f t="shared" ref="J10:M10" si="1">SUM(J8:J9)</f>
        <v>5884.8199740078471</v>
      </c>
      <c r="K10" s="57">
        <f t="shared" si="1"/>
        <v>7553.0490019300196</v>
      </c>
      <c r="L10" s="57">
        <f t="shared" si="1"/>
        <v>9698.5559631687047</v>
      </c>
      <c r="M10" s="57">
        <f t="shared" si="1"/>
        <v>12458.125891381105</v>
      </c>
    </row>
    <row r="11" spans="2:13">
      <c r="B11" s="9"/>
      <c r="C11" s="7"/>
      <c r="D11" s="8"/>
      <c r="E11" s="8"/>
      <c r="F11" s="8"/>
      <c r="G11" s="8"/>
      <c r="H11" s="8"/>
      <c r="I11" s="7"/>
      <c r="J11" s="7"/>
      <c r="K11" s="7"/>
      <c r="L11" s="7"/>
      <c r="M11" s="7"/>
    </row>
    <row r="12" spans="2:13">
      <c r="B12" s="7" t="s">
        <v>44</v>
      </c>
      <c r="C12" s="7"/>
      <c r="D12" s="8">
        <f>119989.95/100</f>
        <v>1199.8995</v>
      </c>
      <c r="E12" s="8">
        <f>180245.05/100</f>
        <v>1802.4504999999999</v>
      </c>
      <c r="F12" s="8">
        <f>224429.87/100</f>
        <v>2244.2986999999998</v>
      </c>
      <c r="G12" s="8">
        <f>233239.44/100</f>
        <v>2332.3944000000001</v>
      </c>
      <c r="H12" s="8">
        <v>2829.24</v>
      </c>
      <c r="I12" s="7"/>
      <c r="J12" s="7"/>
      <c r="K12" s="7"/>
      <c r="L12" s="7"/>
      <c r="M12" s="7"/>
    </row>
    <row r="13" spans="2:13">
      <c r="B13" s="7" t="s">
        <v>45</v>
      </c>
      <c r="C13" s="7"/>
      <c r="D13" s="8">
        <v>0</v>
      </c>
      <c r="E13" s="8">
        <f>1135.18/100</f>
        <v>11.351800000000001</v>
      </c>
      <c r="F13" s="8">
        <f>211.28/100</f>
        <v>2.1128</v>
      </c>
      <c r="G13" s="8">
        <f>57.89/100</f>
        <v>0.57889999999999997</v>
      </c>
      <c r="H13" s="8">
        <v>0.61</v>
      </c>
      <c r="I13" s="7"/>
      <c r="J13" s="7"/>
      <c r="K13" s="7"/>
      <c r="L13" s="7"/>
      <c r="M13" s="7"/>
    </row>
    <row r="14" spans="2:13">
      <c r="B14" s="7" t="s">
        <v>46</v>
      </c>
      <c r="C14" s="7"/>
      <c r="D14" s="8">
        <f>-925.84/100</f>
        <v>-9.2584</v>
      </c>
      <c r="E14" s="8">
        <f>-3569.3/100</f>
        <v>-35.693000000000005</v>
      </c>
      <c r="F14" s="8">
        <f>-1419.54/100</f>
        <v>-14.195399999999999</v>
      </c>
      <c r="G14" s="8">
        <f>-5983.16/100</f>
        <v>-59.831600000000002</v>
      </c>
      <c r="H14" s="8">
        <v>-37.799999999999997</v>
      </c>
      <c r="I14" s="10">
        <f>ASSUMPTIONS!H30</f>
        <v>3905.7278986315032</v>
      </c>
      <c r="J14" s="10">
        <f>ASSUMPTIONS!I30</f>
        <v>5013.6123842977249</v>
      </c>
      <c r="K14" s="10">
        <f>ASSUMPTIONS!J30</f>
        <v>6438.3760017744116</v>
      </c>
      <c r="L14" s="10">
        <f>ASSUMPTIONS!K30</f>
        <v>8270.7742692410175</v>
      </c>
      <c r="M14" s="10">
        <f>ASSUMPTIONS!L30</f>
        <v>10627.632906714054</v>
      </c>
    </row>
    <row r="15" spans="2:13">
      <c r="B15" s="7" t="s">
        <v>47</v>
      </c>
      <c r="C15" s="7"/>
      <c r="D15" s="8">
        <f>3060.21/100</f>
        <v>30.6021</v>
      </c>
      <c r="E15" s="8">
        <f>4080.47/100</f>
        <v>40.804699999999997</v>
      </c>
      <c r="F15" s="8">
        <f>5560.58/100</f>
        <v>55.605800000000002</v>
      </c>
      <c r="G15" s="8">
        <f>8261.82/100</f>
        <v>82.618200000000002</v>
      </c>
      <c r="H15" s="8">
        <v>222.37</v>
      </c>
      <c r="I15" s="10">
        <f>ASSUMPTIONS!H33</f>
        <v>211.2234498309754</v>
      </c>
      <c r="J15" s="10">
        <f>ASSUMPTIONS!I33</f>
        <v>271.13832079744196</v>
      </c>
      <c r="K15" s="10">
        <f>ASSUMPTIONS!J33</f>
        <v>348.1901519253941</v>
      </c>
      <c r="L15" s="10">
        <f>ASSUMPTIONS!K33</f>
        <v>447.28704079320607</v>
      </c>
      <c r="M15" s="10">
        <f>ASSUMPTIONS!L33</f>
        <v>574.74697274223286</v>
      </c>
    </row>
    <row r="16" spans="2:13">
      <c r="B16" s="7" t="s">
        <v>48</v>
      </c>
      <c r="C16" s="7"/>
      <c r="D16" s="8">
        <f>1867.66/100</f>
        <v>18.676600000000001</v>
      </c>
      <c r="E16" s="8">
        <f>2024.1/100</f>
        <v>20.241</v>
      </c>
      <c r="F16" s="8">
        <f>3580.19/100</f>
        <v>35.801900000000003</v>
      </c>
      <c r="G16" s="8">
        <f>5668.16/100</f>
        <v>56.681599999999996</v>
      </c>
      <c r="H16" s="8">
        <v>80.040000000000006</v>
      </c>
      <c r="I16" s="78">
        <f ca="1">'DEBT SCHEDULE'!I13</f>
        <v>85.746166956045201</v>
      </c>
      <c r="J16" s="78">
        <f ca="1">'DEBT SCHEDULE'!J13</f>
        <v>116.3022902610923</v>
      </c>
      <c r="K16" s="78">
        <f ca="1">'DEBT SCHEDULE'!K13</f>
        <v>150.96162964498978</v>
      </c>
      <c r="L16" s="78">
        <f ca="1">'DEBT SCHEDULE'!L13</f>
        <v>195.73845034094651</v>
      </c>
      <c r="M16" s="78">
        <f ca="1">'DEBT SCHEDULE'!M13</f>
        <v>253.55251275303735</v>
      </c>
    </row>
    <row r="17" spans="2:13">
      <c r="B17" s="7" t="s">
        <v>49</v>
      </c>
      <c r="C17" s="7"/>
      <c r="D17" s="8">
        <f>1719.56/100</f>
        <v>17.195599999999999</v>
      </c>
      <c r="E17" s="8">
        <f>2450.88/100</f>
        <v>24.508800000000001</v>
      </c>
      <c r="F17" s="8">
        <f>3740.52/100</f>
        <v>37.405200000000001</v>
      </c>
      <c r="G17" s="8">
        <f>5479.8/100</f>
        <v>54.798000000000002</v>
      </c>
      <c r="H17" s="8">
        <v>79.73</v>
      </c>
      <c r="I17" s="10">
        <f>'FA SCHEDULE'!H16+'FA SCHEDULE'!H26</f>
        <v>92.176103266489662</v>
      </c>
      <c r="J17" s="10">
        <f>'FA SCHEDULE'!I16+'FA SCHEDULE'!I26</f>
        <v>118.52795417389443</v>
      </c>
      <c r="K17" s="10">
        <f>'FA SCHEDULE'!J16+'FA SCHEDULE'!J26</f>
        <v>152.1013295438047</v>
      </c>
      <c r="L17" s="10">
        <f>'FA SCHEDULE'!K16+'FA SCHEDULE'!K26</f>
        <v>195.00210301210078</v>
      </c>
      <c r="M17" s="10">
        <f>'FA SCHEDULE'!L16+'FA SCHEDULE'!L26</f>
        <v>249.93659285373477</v>
      </c>
    </row>
    <row r="18" spans="2:13">
      <c r="B18" s="7" t="s">
        <v>50</v>
      </c>
      <c r="C18" s="7"/>
      <c r="D18" s="8">
        <f>5782.12/100</f>
        <v>57.821199999999997</v>
      </c>
      <c r="E18" s="8">
        <f>7957.66/100</f>
        <v>79.576599999999999</v>
      </c>
      <c r="F18" s="8">
        <f>10596.38/100</f>
        <v>105.96379999999999</v>
      </c>
      <c r="G18" s="8">
        <f>13270.87/100</f>
        <v>132.70870000000002</v>
      </c>
      <c r="H18" s="8">
        <v>183.52</v>
      </c>
      <c r="I18" s="7"/>
      <c r="J18" s="7"/>
      <c r="K18" s="7"/>
      <c r="L18" s="7"/>
      <c r="M18" s="7"/>
    </row>
    <row r="19" spans="2:13">
      <c r="B19" s="7" t="s">
        <v>51</v>
      </c>
      <c r="C19" s="7"/>
      <c r="D19" s="8">
        <f>2404.77/100</f>
        <v>24.047699999999999</v>
      </c>
      <c r="E19" s="8">
        <f>2674.45/100</f>
        <v>26.744499999999999</v>
      </c>
      <c r="F19" s="8">
        <f>3113.51/100</f>
        <v>31.135100000000001</v>
      </c>
      <c r="G19" s="8">
        <f>4451.76/100</f>
        <v>44.517600000000002</v>
      </c>
      <c r="H19" s="8">
        <v>73.290000000000006</v>
      </c>
      <c r="I19" s="10">
        <f>ASSUMPTIONS!H36</f>
        <v>73.902232934328012</v>
      </c>
      <c r="J19" s="10">
        <f>ASSUMPTIONS!I36</f>
        <v>94.865069939107798</v>
      </c>
      <c r="K19" s="10">
        <f>ASSUMPTIONS!J36</f>
        <v>121.82373563929924</v>
      </c>
      <c r="L19" s="10">
        <f>ASSUMPTIONS!K36</f>
        <v>156.49546063023482</v>
      </c>
      <c r="M19" s="10">
        <f>ASSUMPTIONS!L36</f>
        <v>201.09076284799653</v>
      </c>
    </row>
    <row r="20" spans="2:13">
      <c r="B20" s="9" t="s">
        <v>52</v>
      </c>
      <c r="C20" s="7"/>
      <c r="D20" s="57">
        <f>SUM(D12:D19)</f>
        <v>1338.9843000000003</v>
      </c>
      <c r="E20" s="57">
        <f t="shared" ref="E20:H20" si="2">SUM(E12:E19)</f>
        <v>1969.9848999999999</v>
      </c>
      <c r="F20" s="57">
        <f t="shared" si="2"/>
        <v>2498.1278999999995</v>
      </c>
      <c r="G20" s="57">
        <f t="shared" si="2"/>
        <v>2644.4657999999999</v>
      </c>
      <c r="H20" s="57">
        <f t="shared" si="2"/>
        <v>3430.9999999999995</v>
      </c>
      <c r="I20" s="35">
        <f ca="1">SUM(I14:I19)</f>
        <v>4368.7758516193417</v>
      </c>
      <c r="J20" s="35">
        <f t="shared" ref="J20:M20" ca="1" si="3">SUM(J14:J19)</f>
        <v>5614.446019469262</v>
      </c>
      <c r="K20" s="35">
        <f t="shared" ca="1" si="3"/>
        <v>7211.4528485278997</v>
      </c>
      <c r="L20" s="35">
        <f t="shared" ca="1" si="3"/>
        <v>9265.2973240175052</v>
      </c>
      <c r="M20" s="35">
        <f t="shared" ca="1" si="3"/>
        <v>11906.959747911056</v>
      </c>
    </row>
    <row r="21" spans="2:13">
      <c r="B21" s="7" t="s">
        <v>53</v>
      </c>
      <c r="C21" s="7"/>
      <c r="D21" s="10">
        <f>-195.84/100</f>
        <v>-1.9584000000000001</v>
      </c>
      <c r="E21" s="10">
        <f>-232.49/100</f>
        <v>-2.3249</v>
      </c>
      <c r="F21" s="7">
        <v>0</v>
      </c>
      <c r="G21" s="7">
        <v>0</v>
      </c>
      <c r="H21" s="8">
        <v>0</v>
      </c>
      <c r="I21" s="7"/>
      <c r="J21" s="7"/>
      <c r="K21" s="7"/>
      <c r="L21" s="7"/>
      <c r="M21" s="7"/>
    </row>
    <row r="22" spans="2:13">
      <c r="B22" s="7"/>
      <c r="C22" s="7"/>
      <c r="D22" s="7"/>
      <c r="E22" s="7"/>
      <c r="F22" s="7"/>
      <c r="G22" s="7"/>
      <c r="H22" s="8"/>
      <c r="I22" s="7"/>
      <c r="J22" s="7"/>
      <c r="K22" s="7"/>
      <c r="L22" s="7"/>
      <c r="M22" s="7"/>
    </row>
    <row r="23" spans="2:13">
      <c r="B23" s="9" t="s">
        <v>54</v>
      </c>
      <c r="C23" s="7"/>
      <c r="D23" s="57">
        <f>D10-D20+D21</f>
        <v>48.066299999999714</v>
      </c>
      <c r="E23" s="57">
        <f>E10-E20+E21</f>
        <v>71.481799999999865</v>
      </c>
      <c r="F23" s="57">
        <f t="shared" ref="F23:H23" si="4">F10-F20+F21</f>
        <v>104.50910000000067</v>
      </c>
      <c r="G23" s="57">
        <f t="shared" si="4"/>
        <v>117.41409999999996</v>
      </c>
      <c r="H23" s="57">
        <f t="shared" si="4"/>
        <v>147.93000000000075</v>
      </c>
      <c r="I23" s="57">
        <f ca="1">I10-I20</f>
        <v>218.83220935142799</v>
      </c>
      <c r="J23" s="57">
        <f t="shared" ref="J23:M23" ca="1" si="5">J10-J20</f>
        <v>270.37395453858517</v>
      </c>
      <c r="K23" s="57">
        <f t="shared" ca="1" si="5"/>
        <v>341.59615340211985</v>
      </c>
      <c r="L23" s="57">
        <f t="shared" ca="1" si="5"/>
        <v>433.25863915119953</v>
      </c>
      <c r="M23" s="57">
        <f t="shared" ca="1" si="5"/>
        <v>551.16614347004906</v>
      </c>
    </row>
    <row r="24" spans="2:13">
      <c r="B24" s="9"/>
      <c r="C24" s="7"/>
      <c r="D24" s="8"/>
      <c r="E24" s="8"/>
      <c r="F24" s="8"/>
      <c r="G24" s="8"/>
      <c r="H24" s="8"/>
      <c r="I24" s="7"/>
      <c r="J24" s="7"/>
      <c r="K24" s="7"/>
      <c r="L24" s="7"/>
      <c r="M24" s="7"/>
    </row>
    <row r="25" spans="2:13">
      <c r="B25" s="7" t="s">
        <v>55</v>
      </c>
      <c r="C25" s="7"/>
      <c r="D25" s="10">
        <f>884.93/100</f>
        <v>8.8492999999999995</v>
      </c>
      <c r="E25" s="10">
        <f>1337.63/100</f>
        <v>13.376300000000001</v>
      </c>
      <c r="F25" s="8">
        <f>3153.24/100</f>
        <v>31.532399999999999</v>
      </c>
      <c r="G25" s="10">
        <f>2987.38/100</f>
        <v>29.873800000000003</v>
      </c>
      <c r="H25" s="7">
        <v>37.57</v>
      </c>
      <c r="I25" s="10">
        <f ca="1">ASSUMPTIONS!H40</f>
        <v>51.328074706772085</v>
      </c>
      <c r="J25" s="10">
        <f ca="1">ASSUMPTIONS!I40</f>
        <v>63.417421861492258</v>
      </c>
      <c r="K25" s="10">
        <f ca="1">ASSUMPTIONS!J40</f>
        <v>80.122907561622043</v>
      </c>
      <c r="L25" s="10">
        <f ca="1">ASSUMPTIONS!K40</f>
        <v>101.62275408915741</v>
      </c>
      <c r="M25" s="10">
        <f ca="1">ASSUMPTIONS!L40</f>
        <v>129.27848725615186</v>
      </c>
    </row>
    <row r="26" spans="2:13">
      <c r="B26" s="7" t="s">
        <v>56</v>
      </c>
      <c r="C26" s="7"/>
      <c r="D26" s="10">
        <f>89.28/100</f>
        <v>0.89280000000000004</v>
      </c>
      <c r="E26" s="10">
        <f xml:space="preserve"> 603.68 /100</f>
        <v>6.0367999999999995</v>
      </c>
      <c r="F26" s="7">
        <v>0</v>
      </c>
      <c r="G26" s="7">
        <v>0</v>
      </c>
      <c r="H26" s="7">
        <v>0</v>
      </c>
      <c r="I26" s="7"/>
      <c r="J26" s="7"/>
      <c r="K26" s="7"/>
      <c r="L26" s="7"/>
      <c r="M26" s="7"/>
    </row>
    <row r="27" spans="2:13">
      <c r="B27" s="7" t="s">
        <v>57</v>
      </c>
      <c r="C27" s="7"/>
      <c r="D27" s="10">
        <f>785.85/100</f>
        <v>7.8585000000000003</v>
      </c>
      <c r="E27" s="10">
        <f>740.55/100</f>
        <v>7.4055</v>
      </c>
      <c r="F27" s="10">
        <f>367.03/100</f>
        <v>3.6702999999999997</v>
      </c>
      <c r="G27" s="10">
        <f>-533.1/100</f>
        <v>-5.3310000000000004</v>
      </c>
      <c r="H27" s="7">
        <v>0.72</v>
      </c>
      <c r="I27" s="7"/>
      <c r="J27" s="7"/>
      <c r="K27" s="7"/>
      <c r="L27" s="7"/>
      <c r="M27" s="7"/>
    </row>
    <row r="28" spans="2:13">
      <c r="B28" s="7" t="s">
        <v>58</v>
      </c>
      <c r="C28" s="7"/>
      <c r="D28" s="10">
        <f>-393.15/100</f>
        <v>-3.9314999999999998</v>
      </c>
      <c r="E28" s="11">
        <v>0</v>
      </c>
      <c r="F28" s="10">
        <f xml:space="preserve"> -181.07/100</f>
        <v>-1.8107</v>
      </c>
      <c r="G28" s="10">
        <f xml:space="preserve"> (14.59)/100</f>
        <v>0.1459</v>
      </c>
      <c r="H28" s="7">
        <v>0</v>
      </c>
      <c r="I28" s="7"/>
      <c r="J28" s="7"/>
      <c r="K28" s="7"/>
      <c r="L28" s="7"/>
      <c r="M28" s="7"/>
    </row>
    <row r="29" spans="2:1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>
      <c r="B30" s="9" t="s">
        <v>59</v>
      </c>
      <c r="C30" s="7"/>
      <c r="D30" s="35">
        <f>SUM(D25:D28)</f>
        <v>13.6691</v>
      </c>
      <c r="E30" s="35">
        <f t="shared" ref="E30:H30" si="6">SUM(E25:E28)</f>
        <v>26.8186</v>
      </c>
      <c r="F30" s="35">
        <f t="shared" si="6"/>
        <v>33.392000000000003</v>
      </c>
      <c r="G30" s="35">
        <f t="shared" si="6"/>
        <v>24.688700000000004</v>
      </c>
      <c r="H30" s="35">
        <f t="shared" si="6"/>
        <v>38.29</v>
      </c>
      <c r="I30" s="35">
        <f ca="1">ASSUMPTIONS!H40</f>
        <v>51.328074706772085</v>
      </c>
      <c r="J30" s="35">
        <f ca="1">ASSUMPTIONS!I40</f>
        <v>63.417421861492258</v>
      </c>
      <c r="K30" s="35">
        <f ca="1">ASSUMPTIONS!J40</f>
        <v>80.122907561622043</v>
      </c>
      <c r="L30" s="35">
        <f ca="1">ASSUMPTIONS!K40</f>
        <v>101.62275408915741</v>
      </c>
      <c r="M30" s="35">
        <f ca="1">ASSUMPTIONS!L40</f>
        <v>129.27848725615186</v>
      </c>
    </row>
    <row r="31" spans="2:13">
      <c r="B31" s="9" t="s">
        <v>60</v>
      </c>
      <c r="C31" s="7"/>
      <c r="D31" s="57">
        <f>D23-D30</f>
        <v>34.397199999999714</v>
      </c>
      <c r="E31" s="57">
        <f>E23-E30</f>
        <v>44.663199999999861</v>
      </c>
      <c r="F31" s="57">
        <f>F23-F30</f>
        <v>71.117100000000676</v>
      </c>
      <c r="G31" s="57">
        <f>G23-G30</f>
        <v>92.725399999999951</v>
      </c>
      <c r="H31" s="57">
        <f>H23-H30</f>
        <v>109.64000000000075</v>
      </c>
      <c r="I31" s="57">
        <f ca="1">ASSUMPTIONS!H43</f>
        <v>167.50413464465589</v>
      </c>
      <c r="J31" s="57">
        <f ca="1">ASSUMPTIONS!I43</f>
        <v>206.95653267709292</v>
      </c>
      <c r="K31" s="57">
        <f ca="1">ASSUMPTIONS!J43</f>
        <v>261.47324584049784</v>
      </c>
      <c r="L31" s="57">
        <f ca="1">ASSUMPTIONS!K43</f>
        <v>331.63588506204212</v>
      </c>
      <c r="M31" s="57">
        <f ca="1">ASSUMPTIONS!L43</f>
        <v>421.88765621389723</v>
      </c>
    </row>
    <row r="32" spans="2:13">
      <c r="B32" s="7"/>
      <c r="C32" s="7"/>
      <c r="D32" s="31"/>
      <c r="E32" s="31"/>
      <c r="F32" s="31"/>
      <c r="G32" s="31"/>
      <c r="H32" s="31"/>
      <c r="I32" s="7"/>
      <c r="J32" s="7"/>
      <c r="K32" s="7"/>
      <c r="L32" s="7"/>
      <c r="M32" s="7"/>
    </row>
    <row r="33" spans="2:13">
      <c r="B33" s="30"/>
      <c r="C33" s="29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2:13">
      <c r="B34" s="20" t="s">
        <v>61</v>
      </c>
      <c r="C34" s="29"/>
      <c r="D34" s="9">
        <v>10.6</v>
      </c>
      <c r="E34" s="58">
        <v>11.25</v>
      </c>
      <c r="F34" s="35">
        <v>11.27</v>
      </c>
      <c r="G34" s="59">
        <v>11.46</v>
      </c>
      <c r="H34" s="35">
        <v>11.75</v>
      </c>
      <c r="I34" s="35">
        <f>H34</f>
        <v>11.75</v>
      </c>
      <c r="J34" s="35">
        <f t="shared" ref="J34:M34" si="7">I34</f>
        <v>11.75</v>
      </c>
      <c r="K34" s="35">
        <f t="shared" si="7"/>
        <v>11.75</v>
      </c>
      <c r="L34" s="35">
        <f t="shared" si="7"/>
        <v>11.75</v>
      </c>
      <c r="M34" s="35">
        <f t="shared" si="7"/>
        <v>11.75</v>
      </c>
    </row>
    <row r="35" spans="2:13">
      <c r="B35" s="29"/>
      <c r="C35" s="29"/>
      <c r="D35" s="48"/>
      <c r="E35" s="49"/>
      <c r="F35" s="10"/>
      <c r="G35" s="10"/>
      <c r="H35" s="10"/>
      <c r="I35" s="12"/>
      <c r="J35" s="10"/>
      <c r="K35" s="10"/>
      <c r="L35" s="10"/>
      <c r="M35" s="10"/>
    </row>
    <row r="36" spans="2:13">
      <c r="B36" s="354" t="s">
        <v>62</v>
      </c>
      <c r="C36" s="354"/>
      <c r="D36" s="35">
        <f>D31/D34</f>
        <v>3.2450188679245016</v>
      </c>
      <c r="E36" s="35">
        <f t="shared" ref="E36:M36" si="8">E31/E34</f>
        <v>3.9700622222222099</v>
      </c>
      <c r="F36" s="35">
        <f t="shared" si="8"/>
        <v>6.3103016858918082</v>
      </c>
      <c r="G36" s="35">
        <f t="shared" si="8"/>
        <v>8.0912216404886514</v>
      </c>
      <c r="H36" s="35">
        <f t="shared" si="8"/>
        <v>9.3310638297872988</v>
      </c>
      <c r="I36" s="35">
        <f t="shared" ca="1" si="8"/>
        <v>14.255671033587735</v>
      </c>
      <c r="J36" s="35">
        <f t="shared" ca="1" si="8"/>
        <v>17.613321929965355</v>
      </c>
      <c r="K36" s="35">
        <f t="shared" ca="1" si="8"/>
        <v>22.253042199191306</v>
      </c>
      <c r="L36" s="35">
        <f t="shared" ca="1" si="8"/>
        <v>28.224330643578053</v>
      </c>
      <c r="M36" s="35">
        <f t="shared" ca="1" si="8"/>
        <v>35.905332443735936</v>
      </c>
    </row>
    <row r="38" spans="2:13">
      <c r="B38" s="7"/>
      <c r="C38" s="7"/>
      <c r="D38" s="8">
        <f>D23+D17+D16</f>
        <v>83.938499999999721</v>
      </c>
      <c r="E38" s="8">
        <f>E23+E17+E16</f>
        <v>116.23159999999986</v>
      </c>
      <c r="F38" s="8">
        <f>F23+F17+F16</f>
        <v>177.7162000000007</v>
      </c>
      <c r="G38" s="8">
        <f t="shared" ref="G38:M38" si="9">G23+G17+G16</f>
        <v>228.89369999999997</v>
      </c>
      <c r="H38" s="8">
        <f t="shared" si="9"/>
        <v>307.70000000000078</v>
      </c>
      <c r="I38" s="8">
        <f t="shared" ca="1" si="9"/>
        <v>396.7544795739629</v>
      </c>
      <c r="J38" s="8">
        <f t="shared" ca="1" si="9"/>
        <v>505.20419897357192</v>
      </c>
      <c r="K38" s="8">
        <f t="shared" ca="1" si="9"/>
        <v>644.65911259091433</v>
      </c>
      <c r="L38" s="8">
        <f t="shared" ca="1" si="9"/>
        <v>823.99919250424682</v>
      </c>
      <c r="M38" s="8">
        <f t="shared" ca="1" si="9"/>
        <v>1054.6552490768211</v>
      </c>
    </row>
    <row r="39" spans="2:13">
      <c r="B39" s="9" t="s">
        <v>205</v>
      </c>
      <c r="C39" s="7"/>
      <c r="D39" s="10">
        <f>D38/D16</f>
        <v>4.4943137401882423</v>
      </c>
      <c r="E39" s="10">
        <f t="shared" ref="E39:M39" si="10">E38/E16</f>
        <v>5.7423842695518923</v>
      </c>
      <c r="F39" s="10">
        <f t="shared" si="10"/>
        <v>4.9638762188599115</v>
      </c>
      <c r="G39" s="10">
        <f t="shared" si="10"/>
        <v>4.0382363941737704</v>
      </c>
      <c r="H39" s="10">
        <f t="shared" si="10"/>
        <v>3.8443278360819684</v>
      </c>
      <c r="I39" s="10">
        <f t="shared" ca="1" si="10"/>
        <v>4.627081228917735</v>
      </c>
      <c r="J39" s="10">
        <f t="shared" ca="1" si="10"/>
        <v>4.3438886529183218</v>
      </c>
      <c r="K39" s="10">
        <f t="shared" ca="1" si="10"/>
        <v>4.2703507779223928</v>
      </c>
      <c r="L39" s="10">
        <f t="shared" ca="1" si="10"/>
        <v>4.2096950858094866</v>
      </c>
      <c r="M39" s="10">
        <f t="shared" ca="1" si="10"/>
        <v>4.1595140889180051</v>
      </c>
    </row>
  </sheetData>
  <mergeCells count="1">
    <mergeCell ref="B36:C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B467-5C1D-4BA0-9206-42CF0211A7C2}">
  <dimension ref="B6:O70"/>
  <sheetViews>
    <sheetView showGridLines="0" zoomScale="90" zoomScaleNormal="90" workbookViewId="0">
      <pane ySplit="6" topLeftCell="A59" activePane="bottomLeft" state="frozen"/>
      <selection pane="bottomLeft" activeCell="O51" sqref="O51"/>
    </sheetView>
  </sheetViews>
  <sheetFormatPr defaultRowHeight="15.6"/>
  <cols>
    <col min="1" max="1" width="1.88671875" style="6" customWidth="1"/>
    <col min="2" max="2" width="70.88671875" style="6" bestFit="1" customWidth="1"/>
    <col min="3" max="10" width="8.88671875" style="6"/>
    <col min="11" max="11" width="9.109375" style="6" bestFit="1" customWidth="1"/>
    <col min="12" max="12" width="10.33203125" style="6" bestFit="1" customWidth="1"/>
    <col min="13" max="16384" width="8.88671875" style="6"/>
  </cols>
  <sheetData>
    <row r="6" spans="2:14">
      <c r="B6" s="39" t="s">
        <v>63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</row>
    <row r="7" spans="2:14">
      <c r="B7" s="1" t="s">
        <v>81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2:14">
      <c r="B8" s="3" t="s">
        <v>82</v>
      </c>
      <c r="C8" s="10"/>
      <c r="D8" s="7"/>
      <c r="E8" s="10"/>
      <c r="F8" s="7"/>
      <c r="G8" s="7"/>
      <c r="H8" s="7"/>
      <c r="I8" s="7"/>
      <c r="J8" s="7"/>
      <c r="K8" s="7"/>
      <c r="L8" s="7"/>
    </row>
    <row r="9" spans="2:14">
      <c r="B9" s="7" t="s">
        <v>83</v>
      </c>
      <c r="C9" s="10">
        <f>27034.68/100</f>
        <v>270.34680000000003</v>
      </c>
      <c r="D9" s="10">
        <f>39461.48/100</f>
        <v>394.61480000000006</v>
      </c>
      <c r="E9" s="10">
        <f xml:space="preserve"> 51965.63/100</f>
        <v>519.65629999999999</v>
      </c>
      <c r="F9" s="10">
        <f>84686.57/100</f>
        <v>846.86570000000006</v>
      </c>
      <c r="G9" s="33">
        <v>928.52</v>
      </c>
      <c r="H9" s="78">
        <f>'FA SCHEDULE'!H17</f>
        <v>1200.5450805738901</v>
      </c>
      <c r="I9" s="78">
        <f>'FA SCHEDULE'!I17</f>
        <v>1541.0873056420389</v>
      </c>
      <c r="J9" s="78">
        <f>'FA SCHEDULE'!J17</f>
        <v>1979.0320361343029</v>
      </c>
      <c r="K9" s="78">
        <f>'FA SCHEDULE'!K17</f>
        <v>2542.2757599047036</v>
      </c>
      <c r="L9" s="78">
        <f>'FA SCHEDULE'!L17</f>
        <v>3266.7284397285453</v>
      </c>
    </row>
    <row r="10" spans="2:14">
      <c r="B10" s="7" t="s">
        <v>84</v>
      </c>
      <c r="C10" s="10">
        <v>0</v>
      </c>
      <c r="D10" s="10">
        <f>3232.67/100</f>
        <v>32.326700000000002</v>
      </c>
      <c r="E10" s="10">
        <f>3095.65/100</f>
        <v>30.956500000000002</v>
      </c>
      <c r="F10" s="10">
        <f>5386.84/100</f>
        <v>53.868400000000001</v>
      </c>
      <c r="G10" s="10">
        <v>68.989999999999995</v>
      </c>
      <c r="H10" s="10">
        <f>G10</f>
        <v>68.989999999999995</v>
      </c>
      <c r="I10" s="10">
        <f t="shared" ref="I10:L10" si="0">H10</f>
        <v>68.989999999999995</v>
      </c>
      <c r="J10" s="10">
        <f t="shared" si="0"/>
        <v>68.989999999999995</v>
      </c>
      <c r="K10" s="10">
        <f t="shared" si="0"/>
        <v>68.989999999999995</v>
      </c>
      <c r="L10" s="10">
        <f t="shared" si="0"/>
        <v>68.989999999999995</v>
      </c>
    </row>
    <row r="11" spans="2:14">
      <c r="B11" s="7" t="s">
        <v>85</v>
      </c>
      <c r="C11" s="10">
        <f>5346.83/100</f>
        <v>53.468299999999999</v>
      </c>
      <c r="D11" s="10">
        <f>8716.12/100</f>
        <v>87.161200000000008</v>
      </c>
      <c r="E11" s="10">
        <f xml:space="preserve"> 12472.47/100</f>
        <v>124.7247</v>
      </c>
      <c r="F11" s="10">
        <f>840.25/100</f>
        <v>8.4024999999999999</v>
      </c>
      <c r="G11" s="10">
        <v>119.11</v>
      </c>
      <c r="H11" s="10">
        <f>G11</f>
        <v>119.11</v>
      </c>
      <c r="I11" s="10">
        <f t="shared" ref="I11:L11" si="1">H11</f>
        <v>119.11</v>
      </c>
      <c r="J11" s="10">
        <f t="shared" si="1"/>
        <v>119.11</v>
      </c>
      <c r="K11" s="10">
        <f t="shared" si="1"/>
        <v>119.11</v>
      </c>
      <c r="L11" s="10">
        <f t="shared" si="1"/>
        <v>119.11</v>
      </c>
    </row>
    <row r="12" spans="2:14">
      <c r="B12" s="7" t="s">
        <v>86</v>
      </c>
      <c r="C12" s="10">
        <v>0</v>
      </c>
      <c r="D12" s="10">
        <v>0</v>
      </c>
      <c r="E12" s="10">
        <f>301.62/100</f>
        <v>3.0162</v>
      </c>
      <c r="F12" s="10">
        <f>652.15/100</f>
        <v>6.5214999999999996</v>
      </c>
      <c r="G12" s="10">
        <v>6.52</v>
      </c>
      <c r="H12" s="10">
        <f>G12</f>
        <v>6.52</v>
      </c>
      <c r="I12" s="10">
        <f t="shared" ref="I12:L12" si="2">H12</f>
        <v>6.52</v>
      </c>
      <c r="J12" s="10">
        <f t="shared" si="2"/>
        <v>6.52</v>
      </c>
      <c r="K12" s="10">
        <f t="shared" si="2"/>
        <v>6.52</v>
      </c>
      <c r="L12" s="10">
        <f t="shared" si="2"/>
        <v>6.52</v>
      </c>
    </row>
    <row r="13" spans="2:14">
      <c r="B13" s="7" t="s">
        <v>87</v>
      </c>
      <c r="C13" s="10">
        <f xml:space="preserve"> 51.09/100</f>
        <v>0.51090000000000002</v>
      </c>
      <c r="D13" s="10">
        <f>6.7/100</f>
        <v>6.7000000000000004E-2</v>
      </c>
      <c r="E13" s="10">
        <f>4.36/100</f>
        <v>4.36E-2</v>
      </c>
      <c r="F13" s="10">
        <f>111.96/100</f>
        <v>1.1195999999999999</v>
      </c>
      <c r="G13" s="10">
        <v>8.0299999999999994</v>
      </c>
      <c r="H13" s="78">
        <f>'FA SCHEDULE'!H27</f>
        <v>14.980319660810027</v>
      </c>
      <c r="I13" s="78">
        <f>'FA SCHEDULE'!I27</f>
        <v>20.751208319648324</v>
      </c>
      <c r="J13" s="78">
        <f>'FA SCHEDULE'!J27</f>
        <v>25.835411478764101</v>
      </c>
      <c r="K13" s="78">
        <f>'FA SCHEDULE'!K27</f>
        <v>30.314638733231067</v>
      </c>
      <c r="L13" s="78">
        <f>'FA SCHEDULE'!L27</f>
        <v>34.260876947804896</v>
      </c>
    </row>
    <row r="14" spans="2:14">
      <c r="B14" s="7" t="s">
        <v>88</v>
      </c>
      <c r="C14" s="10">
        <v>0</v>
      </c>
      <c r="D14" s="10">
        <v>0</v>
      </c>
      <c r="E14" s="10">
        <f xml:space="preserve"> 39.95/100</f>
        <v>0.39950000000000002</v>
      </c>
      <c r="F14" s="10">
        <f xml:space="preserve"> 33.68 /100</f>
        <v>0.33679999999999999</v>
      </c>
      <c r="G14" s="10">
        <v>0.4</v>
      </c>
      <c r="H14" s="10">
        <f t="shared" ref="H14:H20" si="3">G14</f>
        <v>0.4</v>
      </c>
      <c r="I14" s="10">
        <f t="shared" ref="I14:L14" si="4">H14</f>
        <v>0.4</v>
      </c>
      <c r="J14" s="10">
        <f t="shared" si="4"/>
        <v>0.4</v>
      </c>
      <c r="K14" s="10">
        <f t="shared" si="4"/>
        <v>0.4</v>
      </c>
      <c r="L14" s="10">
        <f t="shared" si="4"/>
        <v>0.4</v>
      </c>
    </row>
    <row r="15" spans="2:14">
      <c r="B15" s="7" t="s">
        <v>89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f t="shared" si="3"/>
        <v>0</v>
      </c>
      <c r="I15" s="10">
        <f t="shared" ref="I15:L15" si="5">H15</f>
        <v>0</v>
      </c>
      <c r="J15" s="10">
        <f t="shared" si="5"/>
        <v>0</v>
      </c>
      <c r="K15" s="10">
        <f t="shared" si="5"/>
        <v>0</v>
      </c>
      <c r="L15" s="10">
        <f t="shared" si="5"/>
        <v>0</v>
      </c>
      <c r="N15" s="46"/>
    </row>
    <row r="16" spans="2:14">
      <c r="B16" s="7" t="s">
        <v>90</v>
      </c>
      <c r="C16" s="10">
        <f>276.26/100</f>
        <v>2.7625999999999999</v>
      </c>
      <c r="D16" s="10">
        <v>0</v>
      </c>
      <c r="E16" s="10">
        <v>0</v>
      </c>
      <c r="F16" s="10">
        <v>0</v>
      </c>
      <c r="G16" s="10">
        <v>0</v>
      </c>
      <c r="H16" s="10">
        <f t="shared" si="3"/>
        <v>0</v>
      </c>
      <c r="I16" s="10">
        <f t="shared" ref="I16:L16" si="6">H16</f>
        <v>0</v>
      </c>
      <c r="J16" s="10">
        <f t="shared" si="6"/>
        <v>0</v>
      </c>
      <c r="K16" s="10">
        <f t="shared" si="6"/>
        <v>0</v>
      </c>
      <c r="L16" s="10">
        <f t="shared" si="6"/>
        <v>0</v>
      </c>
      <c r="N16" s="46"/>
    </row>
    <row r="17" spans="2:14">
      <c r="B17" s="7" t="s">
        <v>91</v>
      </c>
      <c r="C17" s="10">
        <f>40.88/100</f>
        <v>0.40880000000000005</v>
      </c>
      <c r="D17" s="10">
        <f xml:space="preserve"> 669.1 /100</f>
        <v>6.6909999999999998</v>
      </c>
      <c r="E17" s="10">
        <f xml:space="preserve"> 1896.21/100</f>
        <v>18.9621</v>
      </c>
      <c r="F17" s="10">
        <f xml:space="preserve"> 12464.54/100</f>
        <v>124.64540000000001</v>
      </c>
      <c r="G17" s="7">
        <v>37.409999999999997</v>
      </c>
      <c r="H17" s="7">
        <f t="shared" si="3"/>
        <v>37.409999999999997</v>
      </c>
      <c r="I17" s="7">
        <f t="shared" ref="I17:L17" si="7">H17</f>
        <v>37.409999999999997</v>
      </c>
      <c r="J17" s="7">
        <f t="shared" si="7"/>
        <v>37.409999999999997</v>
      </c>
      <c r="K17" s="7">
        <f t="shared" si="7"/>
        <v>37.409999999999997</v>
      </c>
      <c r="L17" s="7">
        <f t="shared" si="7"/>
        <v>37.409999999999997</v>
      </c>
    </row>
    <row r="18" spans="2:14">
      <c r="B18" s="7" t="s">
        <v>92</v>
      </c>
      <c r="C18" s="10">
        <v>0</v>
      </c>
      <c r="D18" s="10">
        <v>0</v>
      </c>
      <c r="E18" s="10">
        <f>42.53/100</f>
        <v>0.42530000000000001</v>
      </c>
      <c r="F18" s="10">
        <f>75.65/100</f>
        <v>0.75650000000000006</v>
      </c>
      <c r="G18" s="7">
        <v>7.88</v>
      </c>
      <c r="H18" s="7">
        <f t="shared" si="3"/>
        <v>7.88</v>
      </c>
      <c r="I18" s="7">
        <f t="shared" ref="I18:L20" si="8">H18</f>
        <v>7.88</v>
      </c>
      <c r="J18" s="7">
        <f t="shared" si="8"/>
        <v>7.88</v>
      </c>
      <c r="K18" s="7">
        <f t="shared" si="8"/>
        <v>7.88</v>
      </c>
      <c r="L18" s="7">
        <f t="shared" si="8"/>
        <v>7.88</v>
      </c>
      <c r="N18" s="46"/>
    </row>
    <row r="19" spans="2:14">
      <c r="B19" s="7" t="s">
        <v>93</v>
      </c>
      <c r="C19" s="10">
        <f>1100.34/100</f>
        <v>11.003399999999999</v>
      </c>
      <c r="D19" s="10">
        <f xml:space="preserve"> 1735.79 /100</f>
        <v>17.357900000000001</v>
      </c>
      <c r="E19" s="10">
        <f xml:space="preserve"> 1368.78/100</f>
        <v>13.687799999999999</v>
      </c>
      <c r="F19" s="10">
        <f>374.39/100</f>
        <v>3.7439</v>
      </c>
      <c r="G19" s="7">
        <v>0.8</v>
      </c>
      <c r="H19" s="7">
        <f t="shared" si="3"/>
        <v>0.8</v>
      </c>
      <c r="I19" s="7">
        <f t="shared" si="8"/>
        <v>0.8</v>
      </c>
      <c r="J19" s="7">
        <f t="shared" si="8"/>
        <v>0.8</v>
      </c>
      <c r="K19" s="7">
        <f t="shared" si="8"/>
        <v>0.8</v>
      </c>
      <c r="L19" s="7">
        <f t="shared" si="8"/>
        <v>0.8</v>
      </c>
    </row>
    <row r="20" spans="2:14">
      <c r="B20" s="7" t="s">
        <v>94</v>
      </c>
      <c r="C20" s="10">
        <f>1119.4/100</f>
        <v>11.194000000000001</v>
      </c>
      <c r="D20" s="10">
        <f xml:space="preserve"> 789.34 /100</f>
        <v>7.8934000000000006</v>
      </c>
      <c r="E20" s="10">
        <f>2563.1/100</f>
        <v>25.631</v>
      </c>
      <c r="F20" s="10">
        <f>1145.53/100</f>
        <v>11.455299999999999</v>
      </c>
      <c r="G20" s="7">
        <v>47.9</v>
      </c>
      <c r="H20" s="7">
        <f t="shared" si="3"/>
        <v>47.9</v>
      </c>
      <c r="I20" s="7">
        <f t="shared" si="8"/>
        <v>47.9</v>
      </c>
      <c r="J20" s="7">
        <f t="shared" si="8"/>
        <v>47.9</v>
      </c>
      <c r="K20" s="7">
        <f t="shared" si="8"/>
        <v>47.9</v>
      </c>
      <c r="L20" s="7">
        <f t="shared" si="8"/>
        <v>47.9</v>
      </c>
    </row>
    <row r="21" spans="2:14">
      <c r="B21" s="9" t="s">
        <v>95</v>
      </c>
      <c r="C21" s="35">
        <f>SUM(C9:C20)</f>
        <v>349.69480000000004</v>
      </c>
      <c r="D21" s="35">
        <f>SUM(D9:D20)</f>
        <v>546.11200000000019</v>
      </c>
      <c r="E21" s="35">
        <f>SUM(E9:E20)</f>
        <v>737.50299999999993</v>
      </c>
      <c r="F21" s="35">
        <f>SUM(F9:F20)</f>
        <v>1057.7156</v>
      </c>
      <c r="G21" s="35">
        <f>SUM(G9:G20)</f>
        <v>1225.5600000000002</v>
      </c>
      <c r="H21" s="35">
        <f t="shared" ref="H21:L21" si="9">SUM(H9:H20)</f>
        <v>1504.5354002347003</v>
      </c>
      <c r="I21" s="35">
        <f t="shared" si="9"/>
        <v>1850.8485139616876</v>
      </c>
      <c r="J21" s="35">
        <f t="shared" si="9"/>
        <v>2293.877447613067</v>
      </c>
      <c r="K21" s="35">
        <f t="shared" si="9"/>
        <v>2861.6003986379351</v>
      </c>
      <c r="L21" s="35">
        <f t="shared" si="9"/>
        <v>3589.9993166763502</v>
      </c>
    </row>
    <row r="22" spans="2:14">
      <c r="B22" s="7"/>
      <c r="C22" s="10"/>
      <c r="D22" s="10"/>
      <c r="E22" s="10"/>
      <c r="F22" s="10"/>
      <c r="G22" s="10"/>
      <c r="H22" s="7"/>
      <c r="I22" s="7"/>
      <c r="J22" s="7"/>
      <c r="K22" s="7"/>
      <c r="L22" s="7"/>
    </row>
    <row r="23" spans="2:14">
      <c r="B23" s="3" t="s">
        <v>96</v>
      </c>
      <c r="C23" s="10"/>
      <c r="D23" s="10"/>
      <c r="E23" s="10"/>
      <c r="F23" s="10"/>
      <c r="G23" s="10"/>
      <c r="H23" s="7"/>
      <c r="I23" s="7"/>
      <c r="J23" s="7"/>
      <c r="K23" s="7"/>
      <c r="L23" s="7"/>
    </row>
    <row r="24" spans="2:14">
      <c r="B24" s="7" t="s">
        <v>97</v>
      </c>
      <c r="C24" s="10">
        <f>16908.34/100</f>
        <v>169.08340000000001</v>
      </c>
      <c r="D24" s="10">
        <f>23776.94/100</f>
        <v>237.76939999999999</v>
      </c>
      <c r="E24" s="10">
        <f>33391.17/100</f>
        <v>333.9117</v>
      </c>
      <c r="F24" s="10">
        <f xml:space="preserve"> 49340.03/100</f>
        <v>493.40030000000002</v>
      </c>
      <c r="G24" s="7">
        <v>752.82</v>
      </c>
      <c r="H24" s="78">
        <f>ASSUMPTIONS!H49</f>
        <v>988.15019530636778</v>
      </c>
      <c r="I24" s="78">
        <f>ASSUMPTIONS!I49</f>
        <v>1268.4452643181016</v>
      </c>
      <c r="J24" s="78">
        <f>ASSUMPTIONS!J49</f>
        <v>1628.9108378078195</v>
      </c>
      <c r="K24" s="78">
        <f>ASSUMPTIONS!K49</f>
        <v>2092.5080859700911</v>
      </c>
      <c r="L24" s="78">
        <f>ASSUMPTIONS!L49</f>
        <v>2688.7939469857793</v>
      </c>
    </row>
    <row r="25" spans="2:14">
      <c r="B25" s="7" t="s">
        <v>98</v>
      </c>
      <c r="C25" s="10">
        <f>41.27 /100</f>
        <v>0.41270000000000001</v>
      </c>
      <c r="D25" s="10">
        <v>0</v>
      </c>
      <c r="E25" s="10">
        <v>0</v>
      </c>
      <c r="F25" s="10">
        <v>0</v>
      </c>
      <c r="G25" s="10">
        <v>0</v>
      </c>
      <c r="H25" s="10">
        <f>G25</f>
        <v>0</v>
      </c>
      <c r="I25" s="10">
        <f t="shared" ref="I25:L25" si="10">H25</f>
        <v>0</v>
      </c>
      <c r="J25" s="10">
        <f t="shared" si="10"/>
        <v>0</v>
      </c>
      <c r="K25" s="10">
        <f t="shared" si="10"/>
        <v>0</v>
      </c>
      <c r="L25" s="10">
        <f t="shared" si="10"/>
        <v>0</v>
      </c>
    </row>
    <row r="26" spans="2:14">
      <c r="B26" s="7" t="s">
        <v>99</v>
      </c>
      <c r="C26" s="10">
        <f xml:space="preserve"> 4968.82/100</f>
        <v>49.688199999999995</v>
      </c>
      <c r="D26" s="10">
        <f xml:space="preserve"> 7219.02/100</f>
        <v>72.190200000000004</v>
      </c>
      <c r="E26" s="10">
        <f xml:space="preserve"> 10448.58/100</f>
        <v>104.4858</v>
      </c>
      <c r="F26" s="10">
        <f>17577.4/100</f>
        <v>175.774</v>
      </c>
      <c r="G26" s="7">
        <v>209.31</v>
      </c>
      <c r="H26" s="78">
        <f>ASSUMPTIONS!H54</f>
        <v>268.53943881602487</v>
      </c>
      <c r="I26" s="78">
        <f>ASSUMPTIONS!I54</f>
        <v>344.71235351344399</v>
      </c>
      <c r="J26" s="78">
        <f>ASSUMPTIONS!J54</f>
        <v>442.67238355463979</v>
      </c>
      <c r="K26" s="78">
        <f>ASSUMPTIONS!K54</f>
        <v>568.65945055061559</v>
      </c>
      <c r="L26" s="78">
        <f>ASSUMPTIONS!L54</f>
        <v>730.70594029647577</v>
      </c>
    </row>
    <row r="27" spans="2:14">
      <c r="B27" s="7" t="s">
        <v>100</v>
      </c>
      <c r="C27" s="10">
        <f>4443.86/100</f>
        <v>44.438599999999994</v>
      </c>
      <c r="D27" s="10">
        <f>3259.75/100</f>
        <v>32.597499999999997</v>
      </c>
      <c r="E27" s="10">
        <f>3986.92/100</f>
        <v>39.869199999999999</v>
      </c>
      <c r="F27" s="10">
        <f>4318.09/100</f>
        <v>43.180900000000001</v>
      </c>
      <c r="G27" s="7">
        <v>76.989999999999995</v>
      </c>
      <c r="H27" s="80">
        <f ca="1">CFS!I28</f>
        <v>182.92037741666667</v>
      </c>
      <c r="I27" s="80">
        <f ca="1">CFS!J28</f>
        <v>234.80690241579464</v>
      </c>
      <c r="J27" s="80">
        <f ca="1">CFS!K28</f>
        <v>301.53410548841191</v>
      </c>
      <c r="K27" s="80">
        <f ca="1">CFS!L28</f>
        <v>387.35241934997919</v>
      </c>
      <c r="L27" s="80">
        <f ca="1">CFS!M28</f>
        <v>497.73324532491574</v>
      </c>
    </row>
    <row r="28" spans="2:14">
      <c r="B28" s="7" t="s">
        <v>101</v>
      </c>
      <c r="C28" s="10">
        <f>1409.49/100</f>
        <v>14.094900000000001</v>
      </c>
      <c r="D28" s="10">
        <f xml:space="preserve"> 1079.9/100</f>
        <v>10.799000000000001</v>
      </c>
      <c r="E28" s="10">
        <f>1059.65/100</f>
        <v>10.596500000000001</v>
      </c>
      <c r="F28" s="10">
        <f>610.82/100</f>
        <v>6.1082000000000001</v>
      </c>
      <c r="G28" s="7">
        <v>6.63</v>
      </c>
      <c r="H28" s="7">
        <f>G28</f>
        <v>6.63</v>
      </c>
      <c r="I28" s="7">
        <f t="shared" ref="I28:L28" si="11">H28</f>
        <v>6.63</v>
      </c>
      <c r="J28" s="7">
        <f t="shared" si="11"/>
        <v>6.63</v>
      </c>
      <c r="K28" s="7">
        <f t="shared" si="11"/>
        <v>6.63</v>
      </c>
      <c r="L28" s="7">
        <f t="shared" si="11"/>
        <v>6.63</v>
      </c>
    </row>
    <row r="29" spans="2:14">
      <c r="B29" s="7" t="s">
        <v>102</v>
      </c>
      <c r="C29" s="10">
        <f xml:space="preserve"> 898.87/100</f>
        <v>8.9886999999999997</v>
      </c>
      <c r="D29" s="10">
        <v>0</v>
      </c>
      <c r="E29" s="10">
        <v>0</v>
      </c>
      <c r="F29" s="10">
        <v>0</v>
      </c>
      <c r="G29" s="7">
        <v>1</v>
      </c>
      <c r="H29" s="7">
        <f>G29</f>
        <v>1</v>
      </c>
      <c r="I29" s="7">
        <f t="shared" ref="I29:L29" si="12">H29</f>
        <v>1</v>
      </c>
      <c r="J29" s="7">
        <f t="shared" si="12"/>
        <v>1</v>
      </c>
      <c r="K29" s="7">
        <f t="shared" si="12"/>
        <v>1</v>
      </c>
      <c r="L29" s="7">
        <f t="shared" si="12"/>
        <v>1</v>
      </c>
    </row>
    <row r="30" spans="2:14">
      <c r="B30" s="7" t="s">
        <v>103</v>
      </c>
      <c r="C30" s="10">
        <f xml:space="preserve"> 1389.31/100</f>
        <v>13.893099999999999</v>
      </c>
      <c r="D30" s="10">
        <f>3265.55/100</f>
        <v>32.655500000000004</v>
      </c>
      <c r="E30" s="10">
        <f>5133.12/100</f>
        <v>51.331199999999995</v>
      </c>
      <c r="F30" s="10">
        <f>7807.2/100</f>
        <v>78.072000000000003</v>
      </c>
      <c r="G30" s="7">
        <v>157.13999999999999</v>
      </c>
      <c r="H30" s="7">
        <f>G30</f>
        <v>157.13999999999999</v>
      </c>
      <c r="I30" s="7">
        <f t="shared" ref="I30:L30" si="13">H30</f>
        <v>157.13999999999999</v>
      </c>
      <c r="J30" s="7">
        <f t="shared" si="13"/>
        <v>157.13999999999999</v>
      </c>
      <c r="K30" s="7">
        <f t="shared" si="13"/>
        <v>157.13999999999999</v>
      </c>
      <c r="L30" s="7">
        <f t="shared" si="13"/>
        <v>157.13999999999999</v>
      </c>
    </row>
    <row r="31" spans="2:14">
      <c r="B31" s="7" t="s">
        <v>104</v>
      </c>
      <c r="C31" s="10">
        <f xml:space="preserve"> 4412.64/100</f>
        <v>44.126400000000004</v>
      </c>
      <c r="D31" s="10">
        <f>5422.7/100</f>
        <v>54.226999999999997</v>
      </c>
      <c r="E31" s="10">
        <f>5748.71/100</f>
        <v>57.487099999999998</v>
      </c>
      <c r="F31" s="10">
        <f>7099.59/100</f>
        <v>70.995900000000006</v>
      </c>
      <c r="G31" s="7">
        <v>61.08</v>
      </c>
      <c r="H31" s="78">
        <f>ASSUMPTIONS!H68</f>
        <v>109.52096497419664</v>
      </c>
      <c r="I31" s="78">
        <f>ASSUMPTIONS!I68</f>
        <v>140.58728118957362</v>
      </c>
      <c r="J31" s="78">
        <f>ASSUMPTIONS!J68</f>
        <v>180.5392415657299</v>
      </c>
      <c r="K31" s="78">
        <f>ASSUMPTIONS!K68</f>
        <v>231.92173202040431</v>
      </c>
      <c r="L31" s="78">
        <f>ASSUMPTIONS!L68</f>
        <v>298.01067599785341</v>
      </c>
    </row>
    <row r="32" spans="2:14">
      <c r="B32" s="9" t="s">
        <v>105</v>
      </c>
      <c r="C32" s="35">
        <f>SUM(C24:C31)</f>
        <v>344.726</v>
      </c>
      <c r="D32" s="35">
        <f>SUM(D24:D31)</f>
        <v>440.23859999999996</v>
      </c>
      <c r="E32" s="35">
        <f>SUM(E24:E31)</f>
        <v>597.68149999999991</v>
      </c>
      <c r="F32" s="35">
        <f>SUM(F24:F31)</f>
        <v>867.53129999999999</v>
      </c>
      <c r="G32" s="35">
        <f>SUM(G24:G31)</f>
        <v>1264.9700000000003</v>
      </c>
      <c r="H32" s="35">
        <f t="shared" ref="H32:L32" ca="1" si="14">SUM(H24:H31)</f>
        <v>1713.9009765132562</v>
      </c>
      <c r="I32" s="35">
        <f t="shared" ca="1" si="14"/>
        <v>2153.321801436914</v>
      </c>
      <c r="J32" s="35">
        <f t="shared" ca="1" si="14"/>
        <v>2718.4265684166012</v>
      </c>
      <c r="K32" s="35">
        <f t="shared" ca="1" si="14"/>
        <v>3445.2116878910902</v>
      </c>
      <c r="L32" s="35">
        <f t="shared" ca="1" si="14"/>
        <v>4380.0138086050238</v>
      </c>
    </row>
    <row r="33" spans="2:12">
      <c r="B33" s="7"/>
      <c r="C33" s="10"/>
      <c r="D33" s="10"/>
      <c r="E33" s="10"/>
      <c r="F33" s="10"/>
      <c r="G33" s="10"/>
      <c r="H33" s="7"/>
      <c r="I33" s="7"/>
      <c r="J33" s="7"/>
      <c r="K33" s="7"/>
      <c r="L33" s="7"/>
    </row>
    <row r="34" spans="2:12">
      <c r="B34" s="9" t="s">
        <v>106</v>
      </c>
      <c r="C34" s="35">
        <f>C21+C32</f>
        <v>694.4208000000001</v>
      </c>
      <c r="D34" s="35">
        <f>D21+D32</f>
        <v>986.35060000000021</v>
      </c>
      <c r="E34" s="35">
        <f>E21+E32</f>
        <v>1335.1844999999998</v>
      </c>
      <c r="F34" s="35">
        <f>F21+F32</f>
        <v>1925.2469000000001</v>
      </c>
      <c r="G34" s="35">
        <f>G21+G32</f>
        <v>2490.5300000000007</v>
      </c>
      <c r="H34" s="35">
        <f t="shared" ref="H34:L34" ca="1" si="15">H21+H32</f>
        <v>3218.4363767479563</v>
      </c>
      <c r="I34" s="35">
        <f t="shared" ca="1" si="15"/>
        <v>4004.1703153986018</v>
      </c>
      <c r="J34" s="35">
        <f t="shared" ca="1" si="15"/>
        <v>5012.3040160296678</v>
      </c>
      <c r="K34" s="35">
        <f t="shared" ca="1" si="15"/>
        <v>6306.8120865290257</v>
      </c>
      <c r="L34" s="35">
        <f t="shared" ca="1" si="15"/>
        <v>7970.0131252813735</v>
      </c>
    </row>
    <row r="35" spans="2:12">
      <c r="B35" s="7"/>
      <c r="C35" s="10"/>
      <c r="D35" s="10"/>
      <c r="E35" s="10"/>
      <c r="F35" s="10"/>
      <c r="G35" s="10"/>
      <c r="H35" s="7"/>
      <c r="I35" s="7"/>
      <c r="J35" s="7"/>
      <c r="K35" s="7"/>
      <c r="L35" s="7"/>
    </row>
    <row r="36" spans="2:12">
      <c r="B36" s="1" t="s">
        <v>107</v>
      </c>
      <c r="C36" s="10"/>
      <c r="D36" s="10"/>
      <c r="E36" s="10"/>
      <c r="F36" s="10"/>
      <c r="G36" s="10"/>
      <c r="H36" s="7"/>
      <c r="I36" s="7"/>
      <c r="J36" s="7"/>
      <c r="K36" s="7"/>
      <c r="L36" s="7"/>
    </row>
    <row r="37" spans="2:12">
      <c r="B37" s="3" t="s">
        <v>108</v>
      </c>
      <c r="C37" s="10"/>
      <c r="D37" s="10"/>
      <c r="E37" s="10"/>
      <c r="F37" s="10"/>
      <c r="G37" s="10"/>
      <c r="H37" s="7"/>
      <c r="I37" s="7"/>
      <c r="J37" s="7"/>
      <c r="K37" s="7"/>
      <c r="L37" s="7"/>
    </row>
    <row r="38" spans="2:12">
      <c r="B38" s="7" t="s">
        <v>109</v>
      </c>
      <c r="C38" s="10">
        <f xml:space="preserve"> 2119.81/100</f>
        <v>21.1981</v>
      </c>
      <c r="D38" s="10">
        <f>2254.86 /100</f>
        <v>22.5486</v>
      </c>
      <c r="E38" s="10">
        <f xml:space="preserve"> 2254.86/100</f>
        <v>22.5486</v>
      </c>
      <c r="F38" s="10">
        <f>2291.47/100</f>
        <v>22.914699999999996</v>
      </c>
      <c r="G38" s="7">
        <v>23.5</v>
      </c>
      <c r="H38" s="7">
        <f>G38</f>
        <v>23.5</v>
      </c>
      <c r="I38" s="7">
        <f t="shared" ref="I38:L38" si="16">H38</f>
        <v>23.5</v>
      </c>
      <c r="J38" s="7">
        <f t="shared" si="16"/>
        <v>23.5</v>
      </c>
      <c r="K38" s="7">
        <f t="shared" si="16"/>
        <v>23.5</v>
      </c>
      <c r="L38" s="7">
        <f t="shared" si="16"/>
        <v>23.5</v>
      </c>
    </row>
    <row r="39" spans="2:12">
      <c r="B39" s="7" t="s">
        <v>110</v>
      </c>
      <c r="C39" s="10">
        <v>0</v>
      </c>
      <c r="D39" s="10">
        <v>0</v>
      </c>
      <c r="E39" s="10">
        <v>0</v>
      </c>
      <c r="F39" s="10">
        <v>0</v>
      </c>
      <c r="G39" s="7">
        <v>3.56</v>
      </c>
      <c r="H39" s="7">
        <f>G39</f>
        <v>3.56</v>
      </c>
      <c r="I39" s="7">
        <f t="shared" ref="I39:L39" si="17">H39</f>
        <v>3.56</v>
      </c>
      <c r="J39" s="7">
        <f t="shared" si="17"/>
        <v>3.56</v>
      </c>
      <c r="K39" s="7">
        <f t="shared" si="17"/>
        <v>3.56</v>
      </c>
      <c r="L39" s="7">
        <f t="shared" si="17"/>
        <v>3.56</v>
      </c>
    </row>
    <row r="40" spans="2:12">
      <c r="B40" s="7" t="s">
        <v>111</v>
      </c>
      <c r="C40" s="10">
        <f>20033.53/100</f>
        <v>200.33529999999999</v>
      </c>
      <c r="D40" s="10">
        <f>28158.12/100</f>
        <v>281.58119999999997</v>
      </c>
      <c r="E40" s="10">
        <f>35238.17/100</f>
        <v>352.38169999999997</v>
      </c>
      <c r="F40" s="10">
        <f xml:space="preserve"> 62321.62/100</f>
        <v>623.21620000000007</v>
      </c>
      <c r="G40" s="7">
        <v>863.96</v>
      </c>
      <c r="H40" s="10">
        <f ca="1">G40+'INCOME STATEMENT'!I31</f>
        <v>1031.464134644656</v>
      </c>
      <c r="I40" s="10">
        <f ca="1">H40+'INCOME STATEMENT'!J31</f>
        <v>1238.4206673217491</v>
      </c>
      <c r="J40" s="10">
        <f ca="1">I40+'INCOME STATEMENT'!K31</f>
        <v>1499.8939131622469</v>
      </c>
      <c r="K40" s="10">
        <f ca="1">J40+'INCOME STATEMENT'!L31</f>
        <v>1831.5297982242892</v>
      </c>
      <c r="L40" s="10">
        <f ca="1">K40+'INCOME STATEMENT'!M31</f>
        <v>2253.4174544381863</v>
      </c>
    </row>
    <row r="41" spans="2:12">
      <c r="B41" s="9" t="s">
        <v>112</v>
      </c>
      <c r="C41" s="35">
        <f>SUM(C38:C40)</f>
        <v>221.5334</v>
      </c>
      <c r="D41" s="35">
        <f>SUM(D38:D40)</f>
        <v>304.12979999999999</v>
      </c>
      <c r="E41" s="35">
        <f>SUM(E38:E40)</f>
        <v>374.93029999999999</v>
      </c>
      <c r="F41" s="35">
        <f>SUM(F38:F40)</f>
        <v>646.13090000000011</v>
      </c>
      <c r="G41" s="35">
        <f>SUM(G38:G40)</f>
        <v>891.02</v>
      </c>
      <c r="H41" s="35">
        <f t="shared" ref="H41:L41" ca="1" si="18">SUM(H38:H40)</f>
        <v>1058.524134644656</v>
      </c>
      <c r="I41" s="35">
        <f t="shared" ca="1" si="18"/>
        <v>1265.480667321749</v>
      </c>
      <c r="J41" s="35">
        <f t="shared" ca="1" si="18"/>
        <v>1526.9539131622469</v>
      </c>
      <c r="K41" s="35">
        <f t="shared" ca="1" si="18"/>
        <v>1858.5897982242891</v>
      </c>
      <c r="L41" s="35">
        <f t="shared" ca="1" si="18"/>
        <v>2280.4774544381862</v>
      </c>
    </row>
    <row r="42" spans="2:12">
      <c r="B42" s="7"/>
      <c r="C42" s="10"/>
      <c r="D42" s="10"/>
      <c r="E42" s="10"/>
      <c r="F42" s="10"/>
      <c r="G42" s="10"/>
      <c r="H42" s="7"/>
      <c r="I42" s="7"/>
      <c r="J42" s="7"/>
      <c r="K42" s="7"/>
      <c r="L42" s="7"/>
    </row>
    <row r="43" spans="2:12">
      <c r="B43" s="3" t="s">
        <v>113</v>
      </c>
      <c r="C43" s="10"/>
      <c r="D43" s="10"/>
      <c r="E43" s="10"/>
      <c r="F43" s="10"/>
      <c r="G43" s="10"/>
      <c r="H43" s="7"/>
      <c r="I43" s="7"/>
      <c r="J43" s="7"/>
      <c r="K43" s="7"/>
      <c r="L43" s="7"/>
    </row>
    <row r="44" spans="2:12">
      <c r="B44" s="7" t="s">
        <v>114</v>
      </c>
      <c r="C44" s="10"/>
      <c r="D44" s="10"/>
      <c r="E44" s="10"/>
      <c r="F44" s="10"/>
      <c r="G44" s="10"/>
      <c r="H44" s="7"/>
      <c r="I44" s="7"/>
      <c r="J44" s="7"/>
      <c r="K44" s="7"/>
      <c r="L44" s="7"/>
    </row>
    <row r="45" spans="2:12">
      <c r="B45" s="7" t="s">
        <v>115</v>
      </c>
      <c r="C45" s="10">
        <f>18652.69/100</f>
        <v>186.52689999999998</v>
      </c>
      <c r="D45" s="10">
        <f xml:space="preserve"> 25430.83/100</f>
        <v>254.30830000000003</v>
      </c>
      <c r="E45" s="10">
        <f xml:space="preserve"> 38195.45/100</f>
        <v>381.9545</v>
      </c>
      <c r="F45" s="10">
        <f>49519.56/100</f>
        <v>495.19559999999996</v>
      </c>
      <c r="G45" s="7">
        <v>618.62</v>
      </c>
      <c r="H45" s="78">
        <f ca="1">'DEBT SCHEDULE'!I9</f>
        <v>886.33044282183118</v>
      </c>
      <c r="I45" s="78">
        <f ca="1">'DEBT SCHEDULE'!J9</f>
        <v>1151.2118937608693</v>
      </c>
      <c r="J45" s="78">
        <f ca="1">'DEBT SCHEDULE'!K9</f>
        <v>1493.5400789703674</v>
      </c>
      <c r="K45" s="78">
        <f ca="1">'DEBT SCHEDULE'!L9</f>
        <v>1935.6733833907601</v>
      </c>
      <c r="L45" s="78">
        <f ca="1">'DEBT SCHEDULE'!M9</f>
        <v>2506.4057718988402</v>
      </c>
    </row>
    <row r="46" spans="2:12">
      <c r="B46" s="7" t="s">
        <v>116</v>
      </c>
      <c r="C46" s="10">
        <v>0</v>
      </c>
      <c r="D46" s="10">
        <f>2255.51 /100</f>
        <v>22.555100000000003</v>
      </c>
      <c r="E46" s="10">
        <f>2024.39/100</f>
        <v>20.2439</v>
      </c>
      <c r="F46" s="10">
        <f>4058.72/100</f>
        <v>40.587199999999996</v>
      </c>
      <c r="G46" s="7">
        <v>36.93</v>
      </c>
      <c r="H46" s="7">
        <f>G46</f>
        <v>36.93</v>
      </c>
      <c r="I46" s="7">
        <f t="shared" ref="I46:L46" si="19">H46</f>
        <v>36.93</v>
      </c>
      <c r="J46" s="7">
        <f t="shared" si="19"/>
        <v>36.93</v>
      </c>
      <c r="K46" s="7">
        <f t="shared" si="19"/>
        <v>36.93</v>
      </c>
      <c r="L46" s="7">
        <f t="shared" si="19"/>
        <v>36.93</v>
      </c>
    </row>
    <row r="47" spans="2:12">
      <c r="B47" s="7" t="s">
        <v>117</v>
      </c>
      <c r="C47" s="10">
        <v>0</v>
      </c>
      <c r="D47" s="10">
        <v>0</v>
      </c>
      <c r="E47" s="10">
        <f>537.2/100</f>
        <v>5.3720000000000008</v>
      </c>
      <c r="F47" s="10">
        <f>1295.57/100</f>
        <v>12.9557</v>
      </c>
      <c r="G47" s="7">
        <v>25.71</v>
      </c>
      <c r="H47" s="7">
        <f>G47</f>
        <v>25.71</v>
      </c>
      <c r="I47" s="7">
        <f t="shared" ref="I47:L47" si="20">H47</f>
        <v>25.71</v>
      </c>
      <c r="J47" s="7">
        <f t="shared" si="20"/>
        <v>25.71</v>
      </c>
      <c r="K47" s="7">
        <f t="shared" si="20"/>
        <v>25.71</v>
      </c>
      <c r="L47" s="7">
        <f t="shared" si="20"/>
        <v>25.71</v>
      </c>
    </row>
    <row r="48" spans="2:12">
      <c r="B48" s="7" t="s">
        <v>118</v>
      </c>
      <c r="C48" s="10">
        <f>191.01/100</f>
        <v>1.9100999999999999</v>
      </c>
      <c r="D48" s="10">
        <f>283.21/100</f>
        <v>2.8320999999999996</v>
      </c>
      <c r="E48" s="10">
        <v>0</v>
      </c>
      <c r="F48" s="10">
        <v>0</v>
      </c>
      <c r="G48" s="10">
        <v>0</v>
      </c>
      <c r="H48" s="10">
        <f>G48</f>
        <v>0</v>
      </c>
      <c r="I48" s="10">
        <f t="shared" ref="I48:L48" si="21">H48</f>
        <v>0</v>
      </c>
      <c r="J48" s="10">
        <f t="shared" si="21"/>
        <v>0</v>
      </c>
      <c r="K48" s="10">
        <f t="shared" si="21"/>
        <v>0</v>
      </c>
      <c r="L48" s="10">
        <f t="shared" si="21"/>
        <v>0</v>
      </c>
    </row>
    <row r="49" spans="2:15">
      <c r="B49" s="7" t="s">
        <v>119</v>
      </c>
      <c r="C49" s="10">
        <f>1793.09 /100</f>
        <v>17.930899999999998</v>
      </c>
      <c r="D49" s="10">
        <f>2670.59/100</f>
        <v>26.7059</v>
      </c>
      <c r="E49" s="10">
        <f>4775.91/100</f>
        <v>47.759099999999997</v>
      </c>
      <c r="F49" s="10">
        <f xml:space="preserve"> 4133.45/100</f>
        <v>41.334499999999998</v>
      </c>
      <c r="G49" s="7">
        <v>45.62</v>
      </c>
      <c r="H49" s="7">
        <f>G49</f>
        <v>45.62</v>
      </c>
      <c r="I49" s="7">
        <f t="shared" ref="I49:L49" si="22">H49</f>
        <v>45.62</v>
      </c>
      <c r="J49" s="7">
        <f t="shared" si="22"/>
        <v>45.62</v>
      </c>
      <c r="K49" s="7">
        <f t="shared" si="22"/>
        <v>45.62</v>
      </c>
      <c r="L49" s="7">
        <f t="shared" si="22"/>
        <v>45.62</v>
      </c>
    </row>
    <row r="50" spans="2:15">
      <c r="B50" s="7" t="s">
        <v>120</v>
      </c>
      <c r="C50" s="10">
        <f>84.67/100</f>
        <v>0.84670000000000001</v>
      </c>
      <c r="D50" s="10">
        <v>0</v>
      </c>
      <c r="E50" s="10">
        <v>0</v>
      </c>
      <c r="F50" s="10">
        <v>0</v>
      </c>
      <c r="G50" s="10">
        <v>0</v>
      </c>
      <c r="H50" s="10">
        <f>G50</f>
        <v>0</v>
      </c>
      <c r="I50" s="10">
        <f t="shared" ref="I50:L50" si="23">H50</f>
        <v>0</v>
      </c>
      <c r="J50" s="10">
        <f t="shared" si="23"/>
        <v>0</v>
      </c>
      <c r="K50" s="10">
        <f t="shared" si="23"/>
        <v>0</v>
      </c>
      <c r="L50" s="10">
        <f t="shared" si="23"/>
        <v>0</v>
      </c>
    </row>
    <row r="51" spans="2:15">
      <c r="B51" s="9" t="s">
        <v>121</v>
      </c>
      <c r="C51" s="35">
        <f>SUM(C45:C50)</f>
        <v>207.21459999999999</v>
      </c>
      <c r="D51" s="35">
        <f>SUM(D45:D50)</f>
        <v>306.40140000000002</v>
      </c>
      <c r="E51" s="35">
        <f>SUM(E45:E50)</f>
        <v>455.3295</v>
      </c>
      <c r="F51" s="35">
        <f>SUM(F45:F50)</f>
        <v>590.07299999999998</v>
      </c>
      <c r="G51" s="35">
        <f>SUM(G45:G50)</f>
        <v>726.88</v>
      </c>
      <c r="H51" s="35">
        <f t="shared" ref="H51:L51" ca="1" si="24">SUM(H45:H50)</f>
        <v>994.59044282183118</v>
      </c>
      <c r="I51" s="35">
        <f t="shared" ca="1" si="24"/>
        <v>1259.4718937608693</v>
      </c>
      <c r="J51" s="35">
        <f t="shared" ca="1" si="24"/>
        <v>1601.8000789703674</v>
      </c>
      <c r="K51" s="35">
        <f t="shared" ca="1" si="24"/>
        <v>2043.9333833907601</v>
      </c>
      <c r="L51" s="35">
        <f t="shared" ca="1" si="24"/>
        <v>2614.6657718988399</v>
      </c>
      <c r="O51" s="6">
        <f ca="1">AVERAGE('INCOME STATEMENT'!I31:M31)/AVERAGE('BALANCE SHEET'!H41:L41)</f>
        <v>0.17389899107202861</v>
      </c>
    </row>
    <row r="52" spans="2:15">
      <c r="B52" s="7"/>
      <c r="C52" s="10"/>
      <c r="D52" s="10"/>
      <c r="E52" s="10"/>
      <c r="F52" s="10"/>
      <c r="G52" s="10"/>
      <c r="H52" s="7"/>
      <c r="I52" s="7"/>
      <c r="J52" s="7"/>
      <c r="K52" s="7"/>
      <c r="L52" s="7"/>
    </row>
    <row r="53" spans="2:15">
      <c r="B53" s="3" t="s">
        <v>122</v>
      </c>
      <c r="C53" s="10"/>
      <c r="D53" s="10"/>
      <c r="E53" s="10"/>
      <c r="F53" s="10"/>
      <c r="G53" s="10"/>
      <c r="H53" s="7"/>
      <c r="I53" s="7"/>
      <c r="J53" s="7"/>
      <c r="K53" s="7"/>
      <c r="L53" s="7"/>
    </row>
    <row r="54" spans="2:15">
      <c r="B54" s="7" t="s">
        <v>123</v>
      </c>
      <c r="C54" s="10">
        <f>14.41/100</f>
        <v>0.14410000000000001</v>
      </c>
      <c r="D54" s="10">
        <f>7296.97 /100</f>
        <v>72.969700000000003</v>
      </c>
      <c r="E54" s="10">
        <f>10935.05/100</f>
        <v>109.3505</v>
      </c>
      <c r="F54" s="10">
        <f>19073.08/100</f>
        <v>190.73080000000002</v>
      </c>
      <c r="G54" s="7">
        <v>236.78</v>
      </c>
      <c r="H54" s="78">
        <f ca="1">'DEBT SCHEDULE'!I8</f>
        <v>344.68406109737884</v>
      </c>
      <c r="I54" s="78">
        <f ca="1">'DEBT SCHEDULE'!J8</f>
        <v>447.69351424033812</v>
      </c>
      <c r="J54" s="78">
        <f ca="1">'DEBT SCHEDULE'!K8</f>
        <v>580.82114182180965</v>
      </c>
      <c r="K54" s="78">
        <f ca="1">'DEBT SCHEDULE'!L8</f>
        <v>752.76187131862901</v>
      </c>
      <c r="L54" s="78">
        <f ca="1">'DEBT SCHEDULE'!M8</f>
        <v>974.71335573843805</v>
      </c>
    </row>
    <row r="55" spans="2:15">
      <c r="B55" s="7" t="s">
        <v>124</v>
      </c>
      <c r="C55" s="10">
        <f>77.78 /100</f>
        <v>0.77780000000000005</v>
      </c>
      <c r="D55" s="10">
        <f>89.04 /100</f>
        <v>0.89040000000000008</v>
      </c>
      <c r="E55" s="10">
        <f>68.53/100</f>
        <v>0.68530000000000002</v>
      </c>
      <c r="F55" s="10">
        <f xml:space="preserve"> 412.85/100</f>
        <v>4.1284999999999998</v>
      </c>
      <c r="G55" s="7">
        <v>2.85</v>
      </c>
      <c r="H55" s="7"/>
      <c r="I55" s="7"/>
      <c r="J55" s="7"/>
      <c r="K55" s="7"/>
      <c r="L55" s="7"/>
    </row>
    <row r="56" spans="2:15">
      <c r="B56" s="7" t="s">
        <v>125</v>
      </c>
      <c r="C56" s="10">
        <f>21310.75/100</f>
        <v>213.10749999999999</v>
      </c>
      <c r="D56" s="10">
        <f xml:space="preserve"> 27025.94/100</f>
        <v>270.25939999999997</v>
      </c>
      <c r="E56" s="10">
        <f>33462.75/100</f>
        <v>334.6275</v>
      </c>
      <c r="F56" s="10">
        <f>42167.27/100</f>
        <v>421.67269999999996</v>
      </c>
      <c r="G56" s="7">
        <v>521.12</v>
      </c>
      <c r="H56" s="78">
        <f>ASSUMPTIONS!H58</f>
        <v>691.2581206673417</v>
      </c>
      <c r="I56" s="78">
        <f>ASSUMPTIONS!I58</f>
        <v>887.3378700391479</v>
      </c>
      <c r="J56" s="78">
        <f>ASSUMPTIONS!J58</f>
        <v>1139.5007052835647</v>
      </c>
      <c r="K56" s="78">
        <f>ASSUMPTIONS!K58</f>
        <v>1463.8090584401871</v>
      </c>
      <c r="L56" s="78">
        <f>ASSUMPTIONS!L58</f>
        <v>1880.9394153677765</v>
      </c>
    </row>
    <row r="57" spans="2:15">
      <c r="B57" s="7" t="s">
        <v>126</v>
      </c>
      <c r="C57" s="10">
        <v>0</v>
      </c>
      <c r="D57" s="10">
        <f>140.65/100</f>
        <v>1.4065000000000001</v>
      </c>
      <c r="E57" s="10">
        <f>102.41/100</f>
        <v>1.0241</v>
      </c>
      <c r="F57" s="10">
        <f xml:space="preserve"> 330.29 /100</f>
        <v>3.3029000000000002</v>
      </c>
      <c r="G57" s="7">
        <v>3.62</v>
      </c>
      <c r="H57" s="7">
        <f>G57</f>
        <v>3.62</v>
      </c>
      <c r="I57" s="7">
        <f t="shared" ref="I57:L57" si="25">H57</f>
        <v>3.62</v>
      </c>
      <c r="J57" s="7">
        <f t="shared" si="25"/>
        <v>3.62</v>
      </c>
      <c r="K57" s="7">
        <f t="shared" si="25"/>
        <v>3.62</v>
      </c>
      <c r="L57" s="7">
        <f t="shared" si="25"/>
        <v>3.62</v>
      </c>
    </row>
    <row r="58" spans="2:15">
      <c r="B58" s="7" t="s">
        <v>127</v>
      </c>
      <c r="C58" s="10">
        <f>4744.32/100</f>
        <v>47.443199999999997</v>
      </c>
      <c r="D58" s="10">
        <f>1980.35/100</f>
        <v>19.8035</v>
      </c>
      <c r="E58" s="10">
        <f>2819.86/100</f>
        <v>28.198600000000003</v>
      </c>
      <c r="F58" s="10">
        <f xml:space="preserve"> 3169.95/100</f>
        <v>31.699499999999997</v>
      </c>
      <c r="G58" s="7">
        <v>57.18</v>
      </c>
      <c r="H58" s="7">
        <f>G58</f>
        <v>57.18</v>
      </c>
      <c r="I58" s="7">
        <f t="shared" ref="I58:L58" si="26">H58</f>
        <v>57.18</v>
      </c>
      <c r="J58" s="7">
        <f t="shared" si="26"/>
        <v>57.18</v>
      </c>
      <c r="K58" s="7">
        <f t="shared" si="26"/>
        <v>57.18</v>
      </c>
      <c r="L58" s="7">
        <f t="shared" si="26"/>
        <v>57.18</v>
      </c>
    </row>
    <row r="59" spans="2:15">
      <c r="B59" s="7" t="s">
        <v>128</v>
      </c>
      <c r="C59" s="10">
        <f>161.71/100</f>
        <v>1.6171</v>
      </c>
      <c r="D59" s="10">
        <f>776.94/100</f>
        <v>7.769400000000001</v>
      </c>
      <c r="E59" s="10">
        <f>3008.17/100</f>
        <v>30.081700000000001</v>
      </c>
      <c r="F59" s="10">
        <f xml:space="preserve"> 3099.39/100</f>
        <v>30.9939</v>
      </c>
      <c r="G59" s="7">
        <v>34.700000000000003</v>
      </c>
      <c r="H59" s="10">
        <f>ASSUMPTIONS!H72</f>
        <v>52.19961751674866</v>
      </c>
      <c r="I59" s="10">
        <f>ASSUMPTIONS!I72</f>
        <v>67.006370036497813</v>
      </c>
      <c r="J59" s="10">
        <f>ASSUMPTIONS!J72</f>
        <v>86.048176791679325</v>
      </c>
      <c r="K59" s="10">
        <f>ASSUMPTIONS!K72</f>
        <v>110.53797515516081</v>
      </c>
      <c r="L59" s="10">
        <f>ASSUMPTIONS!L72</f>
        <v>142.03712783813302</v>
      </c>
    </row>
    <row r="60" spans="2:15">
      <c r="B60" s="7" t="s">
        <v>129</v>
      </c>
      <c r="C60" s="10">
        <v>0</v>
      </c>
      <c r="D60" s="10">
        <v>0</v>
      </c>
      <c r="E60" s="10">
        <f>95.71/100</f>
        <v>0.95709999999999995</v>
      </c>
      <c r="F60" s="10">
        <f xml:space="preserve"> 139.85 /100</f>
        <v>1.3984999999999999</v>
      </c>
      <c r="G60" s="7">
        <v>1.79</v>
      </c>
      <c r="H60" s="10">
        <f>G60</f>
        <v>1.79</v>
      </c>
      <c r="I60" s="10">
        <f t="shared" ref="I60:L60" si="27">H60</f>
        <v>1.79</v>
      </c>
      <c r="J60" s="10">
        <f t="shared" si="27"/>
        <v>1.79</v>
      </c>
      <c r="K60" s="10">
        <f t="shared" si="27"/>
        <v>1.79</v>
      </c>
      <c r="L60" s="10">
        <f t="shared" si="27"/>
        <v>1.79</v>
      </c>
    </row>
    <row r="61" spans="2:15">
      <c r="B61" s="7" t="s">
        <v>130</v>
      </c>
      <c r="C61" s="10">
        <f>63.38/100</f>
        <v>0.63380000000000003</v>
      </c>
      <c r="D61" s="10">
        <f>77.12/100</f>
        <v>0.7712</v>
      </c>
      <c r="E61" s="10">
        <v>0</v>
      </c>
      <c r="F61" s="10">
        <f>0</f>
        <v>0</v>
      </c>
      <c r="G61" s="10">
        <v>0</v>
      </c>
      <c r="H61" s="10">
        <f>G61</f>
        <v>0</v>
      </c>
      <c r="I61" s="10">
        <f t="shared" ref="I61:L62" si="28">H61</f>
        <v>0</v>
      </c>
      <c r="J61" s="10">
        <f t="shared" si="28"/>
        <v>0</v>
      </c>
      <c r="K61" s="10">
        <f t="shared" si="28"/>
        <v>0</v>
      </c>
      <c r="L61" s="10">
        <f t="shared" si="28"/>
        <v>0</v>
      </c>
    </row>
    <row r="62" spans="2:15">
      <c r="B62" s="7" t="s">
        <v>131</v>
      </c>
      <c r="C62" s="10">
        <f>194.93/100</f>
        <v>1.9493</v>
      </c>
      <c r="D62" s="10">
        <f xml:space="preserve"> 194.93 /100</f>
        <v>1.9493</v>
      </c>
      <c r="E62" s="10">
        <v>0</v>
      </c>
      <c r="F62" s="10">
        <f>511.62/100</f>
        <v>5.1162000000000001</v>
      </c>
      <c r="G62" s="7">
        <v>14.59</v>
      </c>
      <c r="H62" s="7">
        <f>G62</f>
        <v>14.59</v>
      </c>
      <c r="I62" s="7">
        <f t="shared" si="28"/>
        <v>14.59</v>
      </c>
      <c r="J62" s="7">
        <f t="shared" si="28"/>
        <v>14.59</v>
      </c>
      <c r="K62" s="7">
        <f t="shared" si="28"/>
        <v>14.59</v>
      </c>
      <c r="L62" s="7">
        <f t="shared" si="28"/>
        <v>14.59</v>
      </c>
    </row>
    <row r="63" spans="2:15">
      <c r="B63" s="9" t="s">
        <v>132</v>
      </c>
      <c r="C63" s="35">
        <f>SUM(C54:C62)</f>
        <v>265.6728</v>
      </c>
      <c r="D63" s="35">
        <f>SUM(D54:D62)</f>
        <v>375.81939999999997</v>
      </c>
      <c r="E63" s="35">
        <f>SUM(E54:E62)</f>
        <v>504.9248</v>
      </c>
      <c r="F63" s="35">
        <f>SUM(F54:F62)</f>
        <v>689.04300000000001</v>
      </c>
      <c r="G63" s="35">
        <f>SUM(G54:G62)</f>
        <v>872.63</v>
      </c>
      <c r="H63" s="35">
        <f t="shared" ref="H63:L63" ca="1" si="29">SUM(H54:H62)</f>
        <v>1165.3217992814691</v>
      </c>
      <c r="I63" s="35">
        <f t="shared" ca="1" si="29"/>
        <v>1479.2177543159837</v>
      </c>
      <c r="J63" s="35">
        <f t="shared" ca="1" si="29"/>
        <v>1883.5500238970533</v>
      </c>
      <c r="K63" s="35">
        <f t="shared" ca="1" si="29"/>
        <v>2404.2889049139767</v>
      </c>
      <c r="L63" s="35">
        <f t="shared" ca="1" si="29"/>
        <v>3074.8698989443474</v>
      </c>
    </row>
    <row r="64" spans="2:15">
      <c r="B64" s="7"/>
      <c r="C64" s="7"/>
      <c r="D64" s="10"/>
      <c r="E64" s="10"/>
      <c r="F64" s="10"/>
      <c r="G64" s="10"/>
      <c r="H64" s="7"/>
      <c r="I64" s="7"/>
      <c r="J64" s="7"/>
      <c r="K64" s="7"/>
      <c r="L64" s="7"/>
    </row>
    <row r="65" spans="2:12">
      <c r="B65" s="3" t="s">
        <v>133</v>
      </c>
      <c r="C65" s="35">
        <f>C51+C63</f>
        <v>472.88739999999996</v>
      </c>
      <c r="D65" s="35">
        <f t="shared" ref="D65:L65" si="30">D51+D63</f>
        <v>682.22080000000005</v>
      </c>
      <c r="E65" s="35">
        <f t="shared" si="30"/>
        <v>960.25430000000006</v>
      </c>
      <c r="F65" s="35">
        <f t="shared" si="30"/>
        <v>1279.116</v>
      </c>
      <c r="G65" s="35">
        <f t="shared" si="30"/>
        <v>1599.51</v>
      </c>
      <c r="H65" s="35">
        <f t="shared" ca="1" si="30"/>
        <v>2159.9122421033003</v>
      </c>
      <c r="I65" s="35">
        <f t="shared" ca="1" si="30"/>
        <v>2738.6896480768528</v>
      </c>
      <c r="J65" s="35">
        <f t="shared" ca="1" si="30"/>
        <v>3485.3501028674209</v>
      </c>
      <c r="K65" s="35">
        <f t="shared" ca="1" si="30"/>
        <v>4448.222288304737</v>
      </c>
      <c r="L65" s="35">
        <f t="shared" ca="1" si="30"/>
        <v>5689.5356708431873</v>
      </c>
    </row>
    <row r="66" spans="2:12">
      <c r="B66" s="7"/>
      <c r="C66" s="7"/>
      <c r="D66" s="7"/>
      <c r="E66" s="10"/>
      <c r="F66" s="7"/>
      <c r="G66" s="7"/>
      <c r="H66" s="7"/>
      <c r="I66" s="7"/>
      <c r="J66" s="7"/>
      <c r="K66" s="7"/>
      <c r="L66" s="7"/>
    </row>
    <row r="67" spans="2:12">
      <c r="B67" s="1" t="s">
        <v>134</v>
      </c>
      <c r="C67" s="35">
        <f>C41+C65</f>
        <v>694.42079999999999</v>
      </c>
      <c r="D67" s="35">
        <f t="shared" ref="D67:L67" si="31">D41+D65</f>
        <v>986.35059999999999</v>
      </c>
      <c r="E67" s="35">
        <f t="shared" si="31"/>
        <v>1335.1846</v>
      </c>
      <c r="F67" s="35">
        <f t="shared" si="31"/>
        <v>1925.2469000000001</v>
      </c>
      <c r="G67" s="35">
        <f t="shared" si="31"/>
        <v>2490.5299999999997</v>
      </c>
      <c r="H67" s="35">
        <f t="shared" ca="1" si="31"/>
        <v>3218.4363767479563</v>
      </c>
      <c r="I67" s="35">
        <f t="shared" ca="1" si="31"/>
        <v>4004.1703153986018</v>
      </c>
      <c r="J67" s="35">
        <f t="shared" ca="1" si="31"/>
        <v>5012.3040160296678</v>
      </c>
      <c r="K67" s="35">
        <f t="shared" ca="1" si="31"/>
        <v>6306.8120865290257</v>
      </c>
      <c r="L67" s="35">
        <f t="shared" ca="1" si="31"/>
        <v>7970.0131252813735</v>
      </c>
    </row>
    <row r="68" spans="2:12">
      <c r="B68" s="68"/>
      <c r="C68" s="69"/>
      <c r="D68" s="69"/>
      <c r="E68" s="69"/>
      <c r="F68" s="69"/>
      <c r="G68" s="69"/>
      <c r="H68" s="69"/>
      <c r="I68" s="69"/>
      <c r="J68" s="69"/>
      <c r="K68" s="69"/>
      <c r="L68" s="69"/>
    </row>
    <row r="70" spans="2:12">
      <c r="B70" s="1" t="s">
        <v>159</v>
      </c>
      <c r="C70" s="10">
        <f>C34-C67</f>
        <v>0</v>
      </c>
      <c r="D70" s="10">
        <f t="shared" ref="D70:L70" si="32">D34-D67</f>
        <v>0</v>
      </c>
      <c r="E70" s="10">
        <f t="shared" si="32"/>
        <v>-1.0000000020227162E-4</v>
      </c>
      <c r="F70" s="10">
        <f t="shared" si="32"/>
        <v>0</v>
      </c>
      <c r="G70" s="10">
        <f t="shared" si="32"/>
        <v>0</v>
      </c>
      <c r="H70" s="10">
        <f t="shared" ca="1" si="32"/>
        <v>0</v>
      </c>
      <c r="I70" s="10">
        <f t="shared" ca="1" si="32"/>
        <v>0</v>
      </c>
      <c r="J70" s="10">
        <f t="shared" ca="1" si="32"/>
        <v>0</v>
      </c>
      <c r="K70" s="10">
        <f t="shared" ca="1" si="32"/>
        <v>0</v>
      </c>
      <c r="L70" s="10">
        <f t="shared" ca="1" si="32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2395-3F1F-4953-8794-1DE00C724061}">
  <dimension ref="B1:N29"/>
  <sheetViews>
    <sheetView showGridLines="0" zoomScale="85" zoomScaleNormal="85" workbookViewId="0">
      <pane ySplit="6" topLeftCell="A7" activePane="bottomLeft" state="frozen"/>
      <selection pane="bottomLeft" activeCell="O15" sqref="O15"/>
    </sheetView>
  </sheetViews>
  <sheetFormatPr defaultRowHeight="15.6"/>
  <cols>
    <col min="1" max="1" width="1.88671875" style="6" customWidth="1"/>
    <col min="2" max="2" width="43" style="6" bestFit="1" customWidth="1"/>
    <col min="3" max="4" width="8" style="6" bestFit="1" customWidth="1"/>
    <col min="5" max="7" width="8.77734375" style="6" bestFit="1" customWidth="1"/>
    <col min="8" max="12" width="9.21875" style="6" bestFit="1" customWidth="1"/>
    <col min="13" max="16384" width="8.88671875" style="6"/>
  </cols>
  <sheetData>
    <row r="1" spans="2:12" s="47" customFormat="1">
      <c r="B1" s="32"/>
    </row>
    <row r="2" spans="2:12" s="47" customFormat="1">
      <c r="B2" s="32"/>
    </row>
    <row r="3" spans="2:12" s="47" customFormat="1">
      <c r="B3" s="32"/>
      <c r="C3" s="82" t="s">
        <v>173</v>
      </c>
      <c r="D3" s="6"/>
      <c r="E3" s="6"/>
      <c r="F3" s="6"/>
    </row>
    <row r="4" spans="2:12" s="47" customFormat="1">
      <c r="B4" s="32"/>
      <c r="C4" s="82" t="s">
        <v>174</v>
      </c>
      <c r="D4" s="6"/>
      <c r="E4" s="6"/>
      <c r="F4" s="6"/>
    </row>
    <row r="5" spans="2:12" s="47" customFormat="1">
      <c r="B5" s="32"/>
    </row>
    <row r="6" spans="2:12">
      <c r="B6" s="39" t="s">
        <v>63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</row>
    <row r="7" spans="2:12">
      <c r="B7" s="20"/>
      <c r="C7" s="7"/>
      <c r="D7" s="7"/>
      <c r="E7" s="7"/>
      <c r="F7" s="7"/>
      <c r="G7" s="7"/>
      <c r="H7" s="7"/>
      <c r="I7" s="7"/>
      <c r="J7" s="7"/>
      <c r="K7" s="7"/>
      <c r="L7" s="7"/>
    </row>
    <row r="8" spans="2:12">
      <c r="B8" s="116" t="s">
        <v>64</v>
      </c>
      <c r="C8" s="10"/>
      <c r="D8" s="10"/>
      <c r="E8" s="10"/>
      <c r="F8" s="10"/>
      <c r="G8" s="10"/>
      <c r="H8" s="7"/>
      <c r="I8" s="7"/>
      <c r="J8" s="7"/>
      <c r="K8" s="7"/>
      <c r="L8" s="7"/>
    </row>
    <row r="9" spans="2:12">
      <c r="B9" s="117" t="s">
        <v>65</v>
      </c>
      <c r="C9" s="10">
        <v>16.661300000000001</v>
      </c>
      <c r="D9" s="10">
        <v>24.066299999999998</v>
      </c>
      <c r="E9" s="10">
        <v>37.380299999999998</v>
      </c>
      <c r="F9" s="10">
        <v>54.673999999999999</v>
      </c>
      <c r="G9" s="7">
        <v>69.819999999999993</v>
      </c>
      <c r="H9" s="7"/>
      <c r="I9" s="7"/>
      <c r="J9" s="7"/>
      <c r="K9" s="7"/>
      <c r="L9" s="7"/>
    </row>
    <row r="10" spans="2:12">
      <c r="B10" s="117" t="s">
        <v>66</v>
      </c>
      <c r="C10" s="10">
        <v>0.5343</v>
      </c>
      <c r="D10" s="10">
        <v>0.4425</v>
      </c>
      <c r="E10" s="10">
        <v>2.4899999999999999E-2</v>
      </c>
      <c r="F10" s="10">
        <v>0.124</v>
      </c>
      <c r="G10" s="7">
        <v>1.6</v>
      </c>
      <c r="H10" s="7"/>
      <c r="I10" s="7"/>
      <c r="J10" s="7"/>
      <c r="K10" s="7"/>
      <c r="L10" s="7"/>
    </row>
    <row r="11" spans="2:12">
      <c r="B11" s="11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2:12">
      <c r="B12" s="73" t="s">
        <v>67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2:12">
      <c r="B13" s="117" t="s">
        <v>68</v>
      </c>
      <c r="C13" s="10">
        <v>0</v>
      </c>
      <c r="D13" s="10">
        <f>C17</f>
        <v>323.81510000000003</v>
      </c>
      <c r="E13" s="10">
        <f t="shared" ref="E13:G13" si="0">D17</f>
        <v>481.77600000000007</v>
      </c>
      <c r="F13" s="10">
        <f t="shared" si="0"/>
        <v>644.38099999999997</v>
      </c>
      <c r="G13" s="10">
        <f t="shared" si="0"/>
        <v>855.26820000000009</v>
      </c>
      <c r="H13" s="10">
        <f>G17</f>
        <v>1047.6299999999999</v>
      </c>
      <c r="I13" s="10">
        <f t="shared" ref="I13:L13" si="1">H17</f>
        <v>1200.5450805738901</v>
      </c>
      <c r="J13" s="10">
        <f t="shared" si="1"/>
        <v>1541.0873056420389</v>
      </c>
      <c r="K13" s="10">
        <f t="shared" si="1"/>
        <v>1979.0320361343029</v>
      </c>
      <c r="L13" s="10">
        <f t="shared" si="1"/>
        <v>2542.2757599047036</v>
      </c>
    </row>
    <row r="14" spans="2:12">
      <c r="B14" s="117" t="s">
        <v>69</v>
      </c>
      <c r="C14" s="10">
        <f>C15+C13</f>
        <v>307.15380000000005</v>
      </c>
      <c r="D14" s="10">
        <f t="shared" ref="D14:G14" si="2">D15+D13</f>
        <v>781.52480000000014</v>
      </c>
      <c r="E14" s="10">
        <f t="shared" si="2"/>
        <v>1088.7766999999999</v>
      </c>
      <c r="F14" s="10">
        <f t="shared" si="2"/>
        <v>1444.9752000000001</v>
      </c>
      <c r="G14" s="10">
        <f t="shared" si="2"/>
        <v>1833.0781999999999</v>
      </c>
      <c r="H14" s="8">
        <f>H15-H13</f>
        <v>243.0679035011899</v>
      </c>
      <c r="I14" s="8">
        <f t="shared" ref="I14:L14" si="3">I15-I13</f>
        <v>456.26746790088146</v>
      </c>
      <c r="J14" s="8">
        <f t="shared" si="3"/>
        <v>586.55666319518446</v>
      </c>
      <c r="K14" s="8">
        <f t="shared" si="3"/>
        <v>754.15145403696852</v>
      </c>
      <c r="L14" s="8">
        <f t="shared" si="3"/>
        <v>969.76191089215035</v>
      </c>
    </row>
    <row r="15" spans="2:12">
      <c r="B15" s="116" t="s">
        <v>70</v>
      </c>
      <c r="C15" s="10">
        <f>C17-C16</f>
        <v>307.15380000000005</v>
      </c>
      <c r="D15" s="10">
        <f t="shared" ref="D15:G15" si="4">D17-D16</f>
        <v>457.70970000000005</v>
      </c>
      <c r="E15" s="10">
        <f t="shared" si="4"/>
        <v>607.00069999999994</v>
      </c>
      <c r="F15" s="10">
        <f t="shared" si="4"/>
        <v>800.59420000000011</v>
      </c>
      <c r="G15" s="10">
        <f t="shared" si="4"/>
        <v>977.81</v>
      </c>
      <c r="H15" s="8">
        <f>'INCOME STATEMENT'!I8/'FA SCHEDULE'!H20</f>
        <v>1290.6979035011898</v>
      </c>
      <c r="I15" s="8">
        <f>'INCOME STATEMENT'!J8/'FA SCHEDULE'!I20</f>
        <v>1656.8125484747716</v>
      </c>
      <c r="J15" s="8">
        <f>'INCOME STATEMENT'!K8/'FA SCHEDULE'!J20</f>
        <v>2127.6439688372234</v>
      </c>
      <c r="K15" s="8">
        <f>'INCOME STATEMENT'!L8/'FA SCHEDULE'!K20</f>
        <v>2733.1834901712714</v>
      </c>
      <c r="L15" s="8">
        <f>'INCOME STATEMENT'!M8/'FA SCHEDULE'!L20</f>
        <v>3512.0376707968539</v>
      </c>
    </row>
    <row r="16" spans="2:12">
      <c r="B16" s="7" t="s">
        <v>71</v>
      </c>
      <c r="C16" s="10">
        <f>C9</f>
        <v>16.661300000000001</v>
      </c>
      <c r="D16" s="10">
        <f t="shared" ref="D16:G16" si="5">D9</f>
        <v>24.066299999999998</v>
      </c>
      <c r="E16" s="10">
        <f t="shared" si="5"/>
        <v>37.380299999999998</v>
      </c>
      <c r="F16" s="10">
        <f t="shared" si="5"/>
        <v>54.673999999999999</v>
      </c>
      <c r="G16" s="10">
        <f t="shared" si="5"/>
        <v>69.819999999999993</v>
      </c>
      <c r="H16" s="10">
        <f>H19*H15</f>
        <v>90.152822927299695</v>
      </c>
      <c r="I16" s="10">
        <f t="shared" ref="I16:L16" si="6">I19*I15</f>
        <v>115.72524283273273</v>
      </c>
      <c r="J16" s="10">
        <f t="shared" si="6"/>
        <v>148.61193270292048</v>
      </c>
      <c r="K16" s="10">
        <f t="shared" si="6"/>
        <v>190.90773026656774</v>
      </c>
      <c r="L16" s="10">
        <f t="shared" si="6"/>
        <v>245.30923106830861</v>
      </c>
    </row>
    <row r="17" spans="2:14">
      <c r="B17" s="116" t="s">
        <v>72</v>
      </c>
      <c r="C17" s="10">
        <f>'BALANCE SHEET'!C9+'BALANCE SHEET'!C11</f>
        <v>323.81510000000003</v>
      </c>
      <c r="D17" s="10">
        <f>'BALANCE SHEET'!D9+'BALANCE SHEET'!D11</f>
        <v>481.77600000000007</v>
      </c>
      <c r="E17" s="10">
        <f>'BALANCE SHEET'!E9+'BALANCE SHEET'!E11</f>
        <v>644.38099999999997</v>
      </c>
      <c r="F17" s="10">
        <f>'BALANCE SHEET'!F9+'BALANCE SHEET'!F11</f>
        <v>855.26820000000009</v>
      </c>
      <c r="G17" s="10">
        <f>'BALANCE SHEET'!G9+'BALANCE SHEET'!G11</f>
        <v>1047.6299999999999</v>
      </c>
      <c r="H17" s="8">
        <f>H15-H16</f>
        <v>1200.5450805738901</v>
      </c>
      <c r="I17" s="8">
        <f t="shared" ref="I17:L17" si="7">I15-I16</f>
        <v>1541.0873056420389</v>
      </c>
      <c r="J17" s="8">
        <f t="shared" si="7"/>
        <v>1979.0320361343029</v>
      </c>
      <c r="K17" s="8">
        <f t="shared" si="7"/>
        <v>2542.2757599047036</v>
      </c>
      <c r="L17" s="8">
        <f t="shared" si="7"/>
        <v>3266.7284397285453</v>
      </c>
    </row>
    <row r="18" spans="2:14">
      <c r="B18" s="116"/>
      <c r="C18" s="7"/>
      <c r="D18" s="7"/>
      <c r="E18" s="7"/>
      <c r="F18" s="7"/>
      <c r="G18" s="7"/>
      <c r="H18" s="7"/>
      <c r="I18" s="7"/>
      <c r="J18" s="7"/>
      <c r="K18" s="7"/>
      <c r="L18" s="7"/>
      <c r="N18" s="82"/>
    </row>
    <row r="19" spans="2:14">
      <c r="B19" s="117" t="s">
        <v>73</v>
      </c>
      <c r="C19" s="12">
        <f>C16/C15</f>
        <v>5.4244160417354428E-2</v>
      </c>
      <c r="D19" s="12">
        <f t="shared" ref="D19:G19" si="8">D16/D15</f>
        <v>5.2579833899084931E-2</v>
      </c>
      <c r="E19" s="12">
        <f t="shared" si="8"/>
        <v>6.1581971816506972E-2</v>
      </c>
      <c r="F19" s="12">
        <f t="shared" si="8"/>
        <v>6.829177628316567E-2</v>
      </c>
      <c r="G19" s="12">
        <f t="shared" si="8"/>
        <v>7.1404465080128043E-2</v>
      </c>
      <c r="H19" s="16">
        <f>AVERAGE(F19:G19)</f>
        <v>6.9848120681646864E-2</v>
      </c>
      <c r="I19" s="79">
        <v>6.9848120681646864E-2</v>
      </c>
      <c r="J19" s="79">
        <v>6.9848120681646864E-2</v>
      </c>
      <c r="K19" s="79">
        <v>6.9848120681646864E-2</v>
      </c>
      <c r="L19" s="79">
        <v>6.9848120681646864E-2</v>
      </c>
      <c r="N19" s="82"/>
    </row>
    <row r="20" spans="2:14">
      <c r="B20" s="117" t="s">
        <v>74</v>
      </c>
      <c r="C20" s="10">
        <f>'INCOME STATEMENT'!D8/'FA SCHEDULE'!C15</f>
        <v>4.5135329597094351</v>
      </c>
      <c r="D20" s="10">
        <f>'INCOME STATEMENT'!E8/'FA SCHEDULE'!D15</f>
        <v>4.4572026767184516</v>
      </c>
      <c r="E20" s="10">
        <f>'INCOME STATEMENT'!F8/'FA SCHEDULE'!E15</f>
        <v>4.2802761182977225</v>
      </c>
      <c r="F20" s="10">
        <f>'INCOME STATEMENT'!G8/'FA SCHEDULE'!F15</f>
        <v>3.4408349448447164</v>
      </c>
      <c r="G20" s="10">
        <f>'INCOME STATEMENT'!H8/'FA SCHEDULE'!G15</f>
        <v>3.6452685081968892</v>
      </c>
      <c r="H20" s="78">
        <v>3.5430517265208001</v>
      </c>
      <c r="I20" s="78">
        <v>3.5430517265208001</v>
      </c>
      <c r="J20" s="78">
        <v>3.5430517265208028</v>
      </c>
      <c r="K20" s="78">
        <v>3.5430517265208028</v>
      </c>
      <c r="L20" s="78">
        <v>3.5430517265208028</v>
      </c>
    </row>
    <row r="21" spans="2:14">
      <c r="B21" s="117"/>
      <c r="C21" s="7"/>
      <c r="D21" s="7"/>
      <c r="E21" s="7"/>
      <c r="F21" s="7"/>
      <c r="G21" s="7"/>
      <c r="H21" s="40"/>
      <c r="I21" s="40"/>
      <c r="J21" s="40"/>
      <c r="K21" s="40"/>
      <c r="L21" s="40"/>
    </row>
    <row r="22" spans="2:14">
      <c r="B22" s="73" t="s">
        <v>75</v>
      </c>
      <c r="C22" s="7"/>
      <c r="D22" s="7"/>
      <c r="E22" s="7"/>
      <c r="F22" s="7"/>
      <c r="G22" s="7"/>
      <c r="H22" s="40"/>
      <c r="I22" s="40"/>
      <c r="J22" s="40"/>
      <c r="K22" s="40"/>
      <c r="L22" s="40"/>
    </row>
    <row r="23" spans="2:14">
      <c r="B23" s="117" t="s">
        <v>76</v>
      </c>
      <c r="C23" s="10">
        <v>0</v>
      </c>
      <c r="D23" s="10">
        <f>C27</f>
        <v>0.51090000000000002</v>
      </c>
      <c r="E23" s="10">
        <f t="shared" ref="E23:G23" si="9">D27</f>
        <v>6.7000000000000004E-2</v>
      </c>
      <c r="F23" s="10">
        <f t="shared" si="9"/>
        <v>0.44310000000000005</v>
      </c>
      <c r="G23" s="10">
        <f t="shared" si="9"/>
        <v>1.4563999999999999</v>
      </c>
      <c r="H23" s="10">
        <f>G27</f>
        <v>8.43</v>
      </c>
      <c r="I23" s="10">
        <f>H27</f>
        <v>14.980319660810027</v>
      </c>
      <c r="J23" s="10">
        <f t="shared" ref="J23:L23" si="10">I27</f>
        <v>20.751208319648324</v>
      </c>
      <c r="K23" s="10">
        <f t="shared" si="10"/>
        <v>25.835411478764101</v>
      </c>
      <c r="L23" s="10">
        <f t="shared" si="10"/>
        <v>30.314638733231067</v>
      </c>
    </row>
    <row r="24" spans="2:14">
      <c r="B24" s="117" t="s">
        <v>77</v>
      </c>
      <c r="C24" s="10">
        <f>C25-C23</f>
        <v>1.0451999999999999</v>
      </c>
      <c r="D24" s="10">
        <f t="shared" ref="D24:G24" si="11">D25-D23</f>
        <v>-1.3999999999999568E-3</v>
      </c>
      <c r="E24" s="10">
        <f t="shared" si="11"/>
        <v>0.40100000000000002</v>
      </c>
      <c r="F24" s="10">
        <f t="shared" si="11"/>
        <v>1.1373</v>
      </c>
      <c r="G24" s="10">
        <f t="shared" si="11"/>
        <v>8.573599999999999</v>
      </c>
      <c r="H24" s="10">
        <f>G24</f>
        <v>8.573599999999999</v>
      </c>
      <c r="I24" s="10">
        <f>H24</f>
        <v>8.573599999999999</v>
      </c>
      <c r="J24" s="10">
        <f t="shared" ref="J24:L24" si="12">I24</f>
        <v>8.573599999999999</v>
      </c>
      <c r="K24" s="10">
        <f t="shared" si="12"/>
        <v>8.573599999999999</v>
      </c>
      <c r="L24" s="10">
        <f t="shared" si="12"/>
        <v>8.573599999999999</v>
      </c>
    </row>
    <row r="25" spans="2:14">
      <c r="B25" s="117" t="s">
        <v>78</v>
      </c>
      <c r="C25" s="10">
        <f>C27+C26</f>
        <v>1.0451999999999999</v>
      </c>
      <c r="D25" s="10">
        <f t="shared" ref="D25:G25" si="13">D27+D26</f>
        <v>0.50950000000000006</v>
      </c>
      <c r="E25" s="10">
        <f t="shared" si="13"/>
        <v>0.46800000000000003</v>
      </c>
      <c r="F25" s="10">
        <f t="shared" si="13"/>
        <v>1.5804</v>
      </c>
      <c r="G25" s="10">
        <f t="shared" si="13"/>
        <v>10.029999999999999</v>
      </c>
      <c r="H25" s="10">
        <f>H23+H24</f>
        <v>17.003599999999999</v>
      </c>
      <c r="I25" s="10">
        <f t="shared" ref="I25:L25" si="14">I23+I24</f>
        <v>23.553919660810024</v>
      </c>
      <c r="J25" s="10">
        <f t="shared" si="14"/>
        <v>29.324808319648323</v>
      </c>
      <c r="K25" s="10">
        <f t="shared" si="14"/>
        <v>34.4090114787641</v>
      </c>
      <c r="L25" s="10">
        <f t="shared" si="14"/>
        <v>38.888238733231063</v>
      </c>
    </row>
    <row r="26" spans="2:14">
      <c r="B26" s="7" t="s">
        <v>66</v>
      </c>
      <c r="C26" s="10">
        <f>C10</f>
        <v>0.5343</v>
      </c>
      <c r="D26" s="10">
        <f t="shared" ref="D26:G26" si="15">D10</f>
        <v>0.4425</v>
      </c>
      <c r="E26" s="10">
        <f t="shared" si="15"/>
        <v>2.4899999999999999E-2</v>
      </c>
      <c r="F26" s="10">
        <f t="shared" si="15"/>
        <v>0.124</v>
      </c>
      <c r="G26" s="10">
        <f t="shared" si="15"/>
        <v>1.6</v>
      </c>
      <c r="H26" s="10">
        <f>H25*H29</f>
        <v>2.0232803391899723</v>
      </c>
      <c r="I26" s="10">
        <f t="shared" ref="I26:L26" si="16">I25*I29</f>
        <v>2.8027113411616993</v>
      </c>
      <c r="J26" s="10">
        <f t="shared" si="16"/>
        <v>3.4893968408842237</v>
      </c>
      <c r="K26" s="10">
        <f t="shared" si="16"/>
        <v>4.0943727455330334</v>
      </c>
      <c r="L26" s="10">
        <f t="shared" si="16"/>
        <v>4.6273617854261673</v>
      </c>
    </row>
    <row r="27" spans="2:14">
      <c r="B27" s="116" t="s">
        <v>79</v>
      </c>
      <c r="C27" s="10">
        <f>'BALANCE SHEET'!C13+'BALANCE SHEET'!C14</f>
        <v>0.51090000000000002</v>
      </c>
      <c r="D27" s="10">
        <f>'BALANCE SHEET'!D13+'BALANCE SHEET'!D14</f>
        <v>6.7000000000000004E-2</v>
      </c>
      <c r="E27" s="10">
        <f>'BALANCE SHEET'!E13+'BALANCE SHEET'!E14</f>
        <v>0.44310000000000005</v>
      </c>
      <c r="F27" s="10">
        <f>'BALANCE SHEET'!F13+'BALANCE SHEET'!F14</f>
        <v>1.4563999999999999</v>
      </c>
      <c r="G27" s="10">
        <f>'BALANCE SHEET'!G13+'BALANCE SHEET'!G14</f>
        <v>8.43</v>
      </c>
      <c r="H27" s="10">
        <f>H25-H26</f>
        <v>14.980319660810027</v>
      </c>
      <c r="I27" s="10">
        <f t="shared" ref="I27:L27" si="17">I25-I26</f>
        <v>20.751208319648324</v>
      </c>
      <c r="J27" s="10">
        <f t="shared" si="17"/>
        <v>25.835411478764101</v>
      </c>
      <c r="K27" s="10">
        <f t="shared" si="17"/>
        <v>30.314638733231067</v>
      </c>
      <c r="L27" s="10">
        <f t="shared" si="17"/>
        <v>34.260876947804896</v>
      </c>
    </row>
    <row r="28" spans="2:14">
      <c r="B28" s="77"/>
      <c r="C28" s="7"/>
      <c r="D28" s="7"/>
      <c r="E28" s="7"/>
      <c r="F28" s="7"/>
      <c r="G28" s="7"/>
      <c r="H28" s="40"/>
      <c r="I28" s="40"/>
      <c r="J28" s="40"/>
      <c r="K28" s="40"/>
      <c r="L28" s="40"/>
    </row>
    <row r="29" spans="2:14">
      <c r="B29" s="117" t="s">
        <v>80</v>
      </c>
      <c r="C29" s="12">
        <f>C26/C25</f>
        <v>0.51119402985074636</v>
      </c>
      <c r="D29" s="12">
        <f t="shared" ref="D29:G29" si="18">D26/D25</f>
        <v>0.86849852796859661</v>
      </c>
      <c r="E29" s="12">
        <f t="shared" si="18"/>
        <v>5.3205128205128197E-2</v>
      </c>
      <c r="F29" s="12">
        <f t="shared" si="18"/>
        <v>7.8461149076183248E-2</v>
      </c>
      <c r="G29" s="12">
        <f t="shared" si="18"/>
        <v>0.15952143569292127</v>
      </c>
      <c r="H29" s="16">
        <f>AVERAGE(F29:G29)</f>
        <v>0.11899129238455225</v>
      </c>
      <c r="I29" s="79">
        <v>0.11899129238455225</v>
      </c>
      <c r="J29" s="79">
        <v>0.11899129238455225</v>
      </c>
      <c r="K29" s="79">
        <v>0.11899129238455225</v>
      </c>
      <c r="L29" s="79">
        <v>0.11899129238455225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09B5-0984-45B9-B3D6-91B51F0C826E}">
  <dimension ref="B6:O28"/>
  <sheetViews>
    <sheetView showGridLines="0" zoomScaleNormal="100" workbookViewId="0">
      <pane ySplit="6" topLeftCell="A14" activePane="bottomLeft" state="frozen"/>
      <selection pane="bottomLeft" activeCell="P22" sqref="P22"/>
    </sheetView>
  </sheetViews>
  <sheetFormatPr defaultRowHeight="14.4"/>
  <cols>
    <col min="1" max="1" width="1.88671875" customWidth="1"/>
    <col min="2" max="2" width="52.6640625" style="55" bestFit="1" customWidth="1"/>
    <col min="3" max="3" width="1.88671875" style="55" customWidth="1"/>
  </cols>
  <sheetData>
    <row r="6" spans="2:13" ht="15.6">
      <c r="B6" s="39" t="s">
        <v>63</v>
      </c>
      <c r="C6" s="39"/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</row>
    <row r="7" spans="2:13" s="61" customFormat="1" ht="15.6">
      <c r="B7" s="60"/>
      <c r="C7" s="60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2:13" ht="15.6">
      <c r="B8" s="52" t="s">
        <v>140</v>
      </c>
      <c r="C8" s="52"/>
      <c r="D8" s="40"/>
      <c r="E8" s="41"/>
      <c r="F8" s="41"/>
      <c r="G8" s="41"/>
      <c r="H8" s="41"/>
      <c r="I8" s="42"/>
      <c r="J8" s="42"/>
      <c r="K8" s="42"/>
      <c r="L8" s="42"/>
      <c r="M8" s="42"/>
    </row>
    <row r="9" spans="2:13" ht="15.6">
      <c r="B9" s="53" t="s">
        <v>141</v>
      </c>
      <c r="C9" s="53"/>
      <c r="D9" s="41"/>
      <c r="E9" s="41"/>
      <c r="F9" s="41"/>
      <c r="G9" s="41"/>
      <c r="H9" s="41"/>
      <c r="I9" s="42">
        <f ca="1">'INCOME STATEMENT'!I31</f>
        <v>167.50413464465589</v>
      </c>
      <c r="J9" s="42">
        <f ca="1">'INCOME STATEMENT'!J31</f>
        <v>206.95653267709292</v>
      </c>
      <c r="K9" s="42">
        <f ca="1">'INCOME STATEMENT'!K31</f>
        <v>261.47324584049784</v>
      </c>
      <c r="L9" s="42">
        <f ca="1">'INCOME STATEMENT'!L31</f>
        <v>331.63588506204212</v>
      </c>
      <c r="M9" s="42">
        <f ca="1">'INCOME STATEMENT'!M31</f>
        <v>421.88765621389723</v>
      </c>
    </row>
    <row r="10" spans="2:13" ht="15.6">
      <c r="B10" s="83" t="s">
        <v>142</v>
      </c>
      <c r="C10" s="53"/>
      <c r="D10" s="41"/>
      <c r="E10" s="41"/>
      <c r="F10" s="41"/>
      <c r="G10" s="41"/>
      <c r="H10" s="41"/>
      <c r="I10" s="42">
        <f>'INCOME STATEMENT'!I17</f>
        <v>92.176103266489662</v>
      </c>
      <c r="J10" s="42">
        <f>'INCOME STATEMENT'!J17</f>
        <v>118.52795417389443</v>
      </c>
      <c r="K10" s="42">
        <f>'INCOME STATEMENT'!K17</f>
        <v>152.1013295438047</v>
      </c>
      <c r="L10" s="42">
        <f>'INCOME STATEMENT'!L17</f>
        <v>195.00210301210078</v>
      </c>
      <c r="M10" s="42">
        <f>'INCOME STATEMENT'!M17</f>
        <v>249.93659285373477</v>
      </c>
    </row>
    <row r="11" spans="2:13" ht="15.6">
      <c r="B11" s="53" t="s">
        <v>172</v>
      </c>
      <c r="C11" s="53"/>
      <c r="D11" s="41"/>
      <c r="E11" s="41"/>
      <c r="F11" s="41"/>
      <c r="G11" s="41"/>
      <c r="H11" s="41"/>
      <c r="I11" s="42">
        <f>-ASSUMPTIONS!H80</f>
        <v>-157.70633616222085</v>
      </c>
      <c r="J11" s="42">
        <f>-ASSUMPTIONS!I80</f>
        <v>-175.99637422470744</v>
      </c>
      <c r="K11" s="42">
        <f>-ASSUMPTIONS!J80</f>
        <v>-226.335176678989</v>
      </c>
      <c r="L11" s="42">
        <f>-ASSUMPTIONS!K80</f>
        <v>-291.09122420450467</v>
      </c>
      <c r="M11" s="42">
        <f>-ASSUMPTIONS!L80</f>
        <v>-374.40597835071367</v>
      </c>
    </row>
    <row r="12" spans="2:13" ht="15.6">
      <c r="B12" s="54" t="s">
        <v>143</v>
      </c>
      <c r="C12" s="54"/>
      <c r="D12" s="41"/>
      <c r="E12" s="41"/>
      <c r="F12" s="41"/>
      <c r="G12" s="41"/>
      <c r="H12" s="41"/>
      <c r="I12" s="43">
        <f ca="1">SUM(I9:I11)</f>
        <v>101.97390174892473</v>
      </c>
      <c r="J12" s="43">
        <f ca="1">SUM(J9:J11)</f>
        <v>149.48811262627993</v>
      </c>
      <c r="K12" s="43">
        <f ca="1">SUM(K9:K11)</f>
        <v>187.23939870531353</v>
      </c>
      <c r="L12" s="43">
        <f ca="1">SUM(L9:L11)</f>
        <v>235.5467638696382</v>
      </c>
      <c r="M12" s="43">
        <f ca="1">SUM(M9:M11)</f>
        <v>297.4182707169183</v>
      </c>
    </row>
    <row r="13" spans="2:13" ht="15.6">
      <c r="B13" s="53"/>
      <c r="C13" s="53"/>
      <c r="D13" s="41"/>
      <c r="E13" s="41"/>
      <c r="F13" s="41"/>
      <c r="G13" s="41"/>
      <c r="H13" s="41"/>
      <c r="I13" s="42"/>
      <c r="J13" s="42"/>
      <c r="K13" s="42"/>
      <c r="L13" s="42"/>
      <c r="M13" s="42"/>
    </row>
    <row r="14" spans="2:13" ht="15.6">
      <c r="B14" s="52" t="s">
        <v>144</v>
      </c>
      <c r="C14" s="52"/>
      <c r="D14" s="41"/>
      <c r="E14" s="41"/>
      <c r="F14" s="41"/>
      <c r="G14" s="41"/>
      <c r="H14" s="41"/>
      <c r="I14" s="42"/>
      <c r="J14" s="42"/>
      <c r="K14" s="42"/>
      <c r="L14" s="42"/>
      <c r="M14" s="42"/>
    </row>
    <row r="15" spans="2:13" ht="15.6">
      <c r="B15" s="53" t="s">
        <v>158</v>
      </c>
      <c r="C15" s="53"/>
      <c r="D15" s="41"/>
      <c r="E15" s="41"/>
      <c r="F15" s="41"/>
      <c r="G15" s="41"/>
      <c r="H15" s="41"/>
      <c r="I15" s="42">
        <f>'FA SCHEDULE'!H14-'FA SCHEDULE'!H24</f>
        <v>234.4943035011899</v>
      </c>
      <c r="J15" s="42">
        <f>'FA SCHEDULE'!I14-'FA SCHEDULE'!I24</f>
        <v>447.69386790088146</v>
      </c>
      <c r="K15" s="42">
        <f>'FA SCHEDULE'!J14-'FA SCHEDULE'!J24</f>
        <v>577.98306319518451</v>
      </c>
      <c r="L15" s="42">
        <f>'FA SCHEDULE'!K14-'FA SCHEDULE'!K24</f>
        <v>745.57785403696857</v>
      </c>
      <c r="M15" s="42">
        <f>'FA SCHEDULE'!L14-'FA SCHEDULE'!L24</f>
        <v>961.18831089215041</v>
      </c>
    </row>
    <row r="16" spans="2:13" ht="15.6">
      <c r="B16" s="54" t="s">
        <v>145</v>
      </c>
      <c r="C16" s="54"/>
      <c r="D16" s="41"/>
      <c r="E16" s="41"/>
      <c r="F16" s="41"/>
      <c r="G16" s="41"/>
      <c r="H16" s="41"/>
      <c r="I16" s="43">
        <f>-I15</f>
        <v>-234.4943035011899</v>
      </c>
      <c r="J16" s="43">
        <f t="shared" ref="J16:M16" si="0">-J15</f>
        <v>-447.69386790088146</v>
      </c>
      <c r="K16" s="43">
        <f t="shared" si="0"/>
        <v>-577.98306319518451</v>
      </c>
      <c r="L16" s="43">
        <f t="shared" si="0"/>
        <v>-745.57785403696857</v>
      </c>
      <c r="M16" s="43">
        <f t="shared" si="0"/>
        <v>-961.18831089215041</v>
      </c>
    </row>
    <row r="17" spans="2:15" ht="15.6">
      <c r="B17" s="53"/>
      <c r="C17" s="53"/>
      <c r="D17" s="41"/>
      <c r="E17" s="41"/>
      <c r="F17" s="41"/>
      <c r="G17" s="41"/>
      <c r="H17" s="41"/>
      <c r="I17" s="42"/>
      <c r="J17" s="42"/>
      <c r="K17" s="42"/>
      <c r="L17" s="42"/>
      <c r="M17" s="42"/>
    </row>
    <row r="18" spans="2:15" ht="15.6">
      <c r="B18" s="120" t="s">
        <v>182</v>
      </c>
      <c r="C18" s="53"/>
      <c r="D18" s="41"/>
      <c r="E18" s="41"/>
      <c r="F18" s="41"/>
      <c r="G18" s="41"/>
      <c r="H18" s="41"/>
      <c r="I18" s="42">
        <f ca="1">I27+I12+I16</f>
        <v>-55.530401752265163</v>
      </c>
      <c r="J18" s="42">
        <f t="shared" ref="J18:M18" ca="1" si="1">J27+J12+J16</f>
        <v>-115.28537785793486</v>
      </c>
      <c r="K18" s="42">
        <f t="shared" ca="1" si="1"/>
        <v>-155.93676207407634</v>
      </c>
      <c r="L18" s="42">
        <f t="shared" ca="1" si="1"/>
        <v>-208.49698467891847</v>
      </c>
      <c r="M18" s="42">
        <f t="shared" ca="1" si="1"/>
        <v>-276.41762082525292</v>
      </c>
      <c r="N18" s="121"/>
      <c r="O18" s="85"/>
    </row>
    <row r="19" spans="2:15" ht="15.6">
      <c r="B19" s="53"/>
      <c r="C19" s="53"/>
      <c r="D19" s="41"/>
      <c r="E19" s="41"/>
      <c r="F19" s="41"/>
      <c r="G19" s="41"/>
      <c r="H19" s="41"/>
      <c r="I19" s="42"/>
      <c r="J19" s="42"/>
      <c r="K19" s="42"/>
      <c r="L19" s="42"/>
      <c r="M19" s="42"/>
    </row>
    <row r="20" spans="2:15" ht="15.6">
      <c r="B20" s="124" t="s">
        <v>146</v>
      </c>
      <c r="C20" s="124"/>
      <c r="D20" s="125"/>
      <c r="E20" s="125"/>
      <c r="F20" s="125"/>
      <c r="G20" s="125"/>
      <c r="H20" s="125"/>
      <c r="I20" s="126"/>
      <c r="J20" s="126"/>
      <c r="K20" s="126"/>
      <c r="L20" s="126"/>
      <c r="M20" s="126"/>
    </row>
    <row r="21" spans="2:15" ht="15.6">
      <c r="B21" s="130" t="s">
        <v>180</v>
      </c>
      <c r="C21" s="53"/>
      <c r="D21" s="41"/>
      <c r="E21" s="41"/>
      <c r="F21" s="41"/>
      <c r="G21" s="41"/>
      <c r="H21" s="119"/>
      <c r="I21" s="42">
        <f ca="1">I22-(I18)</f>
        <v>238.45077916893186</v>
      </c>
      <c r="J21" s="42">
        <f t="shared" ref="J21:M21" ca="1" si="2">J22-(J18)</f>
        <v>350.0922802737295</v>
      </c>
      <c r="K21" s="42">
        <f t="shared" ca="1" si="2"/>
        <v>457.47086756248825</v>
      </c>
      <c r="L21" s="42">
        <f t="shared" ca="1" si="2"/>
        <v>595.84940402889765</v>
      </c>
      <c r="M21" s="42">
        <f t="shared" ca="1" si="2"/>
        <v>774.15086615016867</v>
      </c>
      <c r="N21" s="121"/>
      <c r="O21" s="85"/>
    </row>
    <row r="22" spans="2:15" ht="15.6">
      <c r="B22" s="131" t="s">
        <v>181</v>
      </c>
      <c r="C22" s="53"/>
      <c r="D22" s="41"/>
      <c r="E22" s="41"/>
      <c r="F22" s="41"/>
      <c r="G22" s="41"/>
      <c r="H22" s="119"/>
      <c r="I22" s="123">
        <f>4%*'INCOME STATEMENT'!I8</f>
        <v>182.9203774166667</v>
      </c>
      <c r="J22" s="123">
        <f>4%*'INCOME STATEMENT'!J8</f>
        <v>234.80690241579464</v>
      </c>
      <c r="K22" s="123">
        <f>4%*'INCOME STATEMENT'!K8</f>
        <v>301.53410548841191</v>
      </c>
      <c r="L22" s="123">
        <f>4%*'INCOME STATEMENT'!L8</f>
        <v>387.35241934997913</v>
      </c>
      <c r="M22" s="123">
        <f>4%*'INCOME STATEMENT'!M8</f>
        <v>497.73324532491569</v>
      </c>
      <c r="N22" s="121"/>
    </row>
    <row r="23" spans="2:15" ht="15.6">
      <c r="B23" s="53" t="s">
        <v>166</v>
      </c>
      <c r="C23" s="127"/>
      <c r="D23" s="128"/>
      <c r="E23" s="128"/>
      <c r="F23" s="128"/>
      <c r="G23" s="128"/>
      <c r="H23" s="128"/>
      <c r="I23" s="129">
        <v>0</v>
      </c>
      <c r="J23" s="129">
        <v>0</v>
      </c>
      <c r="K23" s="129">
        <v>0</v>
      </c>
      <c r="L23" s="129">
        <v>0</v>
      </c>
      <c r="M23" s="129">
        <v>0</v>
      </c>
    </row>
    <row r="24" spans="2:15" ht="15.6">
      <c r="B24" s="54" t="s">
        <v>148</v>
      </c>
      <c r="C24" s="54"/>
      <c r="D24" s="41"/>
      <c r="E24" s="41"/>
      <c r="F24" s="41"/>
      <c r="G24" s="41"/>
      <c r="H24" s="41"/>
      <c r="I24" s="43">
        <f ca="1">I21+I23</f>
        <v>238.45077916893186</v>
      </c>
      <c r="J24" s="43">
        <f t="shared" ref="J24:M24" ca="1" si="3">J21+J23</f>
        <v>350.0922802737295</v>
      </c>
      <c r="K24" s="43">
        <f t="shared" ca="1" si="3"/>
        <v>457.47086756248825</v>
      </c>
      <c r="L24" s="43">
        <f t="shared" ca="1" si="3"/>
        <v>595.84940402889765</v>
      </c>
      <c r="M24" s="43">
        <f t="shared" ca="1" si="3"/>
        <v>774.15086615016867</v>
      </c>
    </row>
    <row r="25" spans="2:15" ht="15.6">
      <c r="B25" s="53"/>
      <c r="C25" s="53"/>
      <c r="D25" s="44"/>
      <c r="E25" s="44"/>
      <c r="F25" s="44"/>
      <c r="G25" s="44"/>
      <c r="H25" s="44"/>
      <c r="I25" s="42"/>
      <c r="J25" s="42"/>
      <c r="K25" s="42"/>
      <c r="L25" s="42"/>
      <c r="M25" s="42"/>
    </row>
    <row r="26" spans="2:15" ht="15.6">
      <c r="B26" s="52" t="s">
        <v>149</v>
      </c>
      <c r="C26" s="52"/>
      <c r="D26" s="44"/>
      <c r="E26" s="44"/>
      <c r="F26" s="44"/>
      <c r="G26" s="44"/>
      <c r="H26" s="44"/>
      <c r="I26" s="43">
        <f ca="1">I12+I16+I24</f>
        <v>105.93037741666669</v>
      </c>
      <c r="J26" s="43">
        <f t="shared" ref="J26:M26" ca="1" si="4">J12+J16+J24</f>
        <v>51.886524999127971</v>
      </c>
      <c r="K26" s="43">
        <f t="shared" ca="1" si="4"/>
        <v>66.727203072617272</v>
      </c>
      <c r="L26" s="43">
        <f t="shared" ca="1" si="4"/>
        <v>85.818313861567276</v>
      </c>
      <c r="M26" s="43">
        <f t="shared" ca="1" si="4"/>
        <v>110.38082597493656</v>
      </c>
    </row>
    <row r="27" spans="2:15" ht="15.6">
      <c r="B27" s="52" t="s">
        <v>150</v>
      </c>
      <c r="C27" s="52"/>
      <c r="D27" s="44"/>
      <c r="E27" s="44"/>
      <c r="F27" s="44"/>
      <c r="G27" s="44"/>
      <c r="H27" s="44"/>
      <c r="I27" s="42">
        <f>'BALANCE SHEET'!G27</f>
        <v>76.989999999999995</v>
      </c>
      <c r="J27" s="42">
        <f ca="1">I28</f>
        <v>182.92037741666667</v>
      </c>
      <c r="K27" s="42">
        <f ca="1">J28</f>
        <v>234.80690241579464</v>
      </c>
      <c r="L27" s="42">
        <f ca="1">K28</f>
        <v>301.53410548841191</v>
      </c>
      <c r="M27" s="42">
        <f ca="1">L28</f>
        <v>387.35241934997919</v>
      </c>
    </row>
    <row r="28" spans="2:15" ht="15.6">
      <c r="B28" s="52" t="s">
        <v>151</v>
      </c>
      <c r="C28" s="52"/>
      <c r="D28" s="41"/>
      <c r="E28" s="41"/>
      <c r="F28" s="41"/>
      <c r="G28" s="41"/>
      <c r="H28" s="41"/>
      <c r="I28" s="43">
        <f ca="1">SUM(I12+I16+I24+I27)</f>
        <v>182.92037741666667</v>
      </c>
      <c r="J28" s="43">
        <f ca="1">SUM(J12+J16+J24+J27)</f>
        <v>234.80690241579464</v>
      </c>
      <c r="K28" s="43">
        <f ca="1">SUM(K12+K16+K24+K27)</f>
        <v>301.53410548841191</v>
      </c>
      <c r="L28" s="43">
        <f ca="1">SUM(L12+L16+L24+L27)</f>
        <v>387.35241934997919</v>
      </c>
      <c r="M28" s="43">
        <f ca="1">SUM(M12+M16+M24+M27)</f>
        <v>497.73324532491574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C522-11B4-4157-83D1-3B2DF8D59A60}">
  <dimension ref="B1:Q32"/>
  <sheetViews>
    <sheetView showGridLines="0" zoomScale="98" zoomScaleNormal="85" workbookViewId="0">
      <pane ySplit="6" topLeftCell="A7" activePane="bottomLeft" state="frozen"/>
      <selection pane="bottomLeft" activeCell="I21" sqref="I21"/>
    </sheetView>
  </sheetViews>
  <sheetFormatPr defaultRowHeight="14.4"/>
  <cols>
    <col min="1" max="1" width="1.88671875" customWidth="1"/>
    <col min="2" max="2" width="39.5546875" bestFit="1" customWidth="1"/>
    <col min="4" max="8" width="9.77734375" bestFit="1" customWidth="1"/>
    <col min="9" max="10" width="10.77734375" bestFit="1" customWidth="1"/>
    <col min="11" max="12" width="9.77734375" bestFit="1" customWidth="1"/>
    <col min="13" max="13" width="10.44140625" bestFit="1" customWidth="1"/>
  </cols>
  <sheetData>
    <row r="1" spans="2:13">
      <c r="C1" s="85" t="s">
        <v>169</v>
      </c>
      <c r="D1" s="84"/>
      <c r="E1" t="s">
        <v>167</v>
      </c>
    </row>
    <row r="2" spans="2:13">
      <c r="E2" t="s">
        <v>168</v>
      </c>
    </row>
    <row r="4" spans="2:13">
      <c r="C4" s="85" t="s">
        <v>170</v>
      </c>
      <c r="D4" s="86"/>
    </row>
    <row r="5" spans="2:13" ht="15.6">
      <c r="B5" s="81"/>
      <c r="C5" s="81"/>
      <c r="D5" s="355"/>
      <c r="E5" s="355"/>
      <c r="F5" s="355"/>
      <c r="G5" s="355"/>
      <c r="H5" s="355"/>
      <c r="I5" s="355"/>
      <c r="J5" s="355"/>
      <c r="K5" s="355"/>
      <c r="L5" s="355"/>
      <c r="M5" s="355"/>
    </row>
    <row r="6" spans="2:13" ht="15.6">
      <c r="B6" s="39" t="s">
        <v>63</v>
      </c>
      <c r="C6" s="70"/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</row>
    <row r="7" spans="2:13" ht="15.6">
      <c r="B7" s="20"/>
      <c r="C7" s="29"/>
      <c r="D7" s="7"/>
      <c r="E7" s="71"/>
      <c r="F7" s="72"/>
      <c r="G7" s="72"/>
      <c r="H7" s="72"/>
      <c r="I7" s="7"/>
      <c r="J7" s="7"/>
      <c r="K7" s="7"/>
      <c r="L7" s="7"/>
      <c r="M7" s="7"/>
    </row>
    <row r="8" spans="2:13" ht="15.6">
      <c r="B8" s="74" t="s">
        <v>162</v>
      </c>
      <c r="C8" s="73"/>
      <c r="D8" s="42">
        <f>'BALANCE SHEET'!C54</f>
        <v>0.14410000000000001</v>
      </c>
      <c r="E8" s="42">
        <f>'BALANCE SHEET'!D54</f>
        <v>72.969700000000003</v>
      </c>
      <c r="F8" s="42">
        <f>'BALANCE SHEET'!E54</f>
        <v>109.3505</v>
      </c>
      <c r="G8" s="42">
        <f>'BALANCE SHEET'!F54</f>
        <v>190.73080000000002</v>
      </c>
      <c r="H8" s="42">
        <f>'BALANCE SHEET'!G54</f>
        <v>236.78</v>
      </c>
      <c r="I8" s="42">
        <f ca="1">I11*28%</f>
        <v>344.68406109737884</v>
      </c>
      <c r="J8" s="42">
        <f t="shared" ref="J8:M8" ca="1" si="0">J11*28%</f>
        <v>447.69351424033812</v>
      </c>
      <c r="K8" s="42">
        <f t="shared" ca="1" si="0"/>
        <v>580.82114182180965</v>
      </c>
      <c r="L8" s="42">
        <f t="shared" ca="1" si="0"/>
        <v>752.76187131862901</v>
      </c>
      <c r="M8" s="42">
        <f t="shared" ca="1" si="0"/>
        <v>974.71335573843805</v>
      </c>
    </row>
    <row r="9" spans="2:13" ht="15.6">
      <c r="B9" s="74" t="s">
        <v>163</v>
      </c>
      <c r="C9" s="75"/>
      <c r="D9" s="88">
        <f>'BALANCE SHEET'!C45</f>
        <v>186.52689999999998</v>
      </c>
      <c r="E9" s="88">
        <f>'BALANCE SHEET'!D45</f>
        <v>254.30830000000003</v>
      </c>
      <c r="F9" s="88">
        <f>'BALANCE SHEET'!E45</f>
        <v>381.9545</v>
      </c>
      <c r="G9" s="88">
        <f>'BALANCE SHEET'!F45</f>
        <v>495.19559999999996</v>
      </c>
      <c r="H9" s="88">
        <f>'BALANCE SHEET'!G45</f>
        <v>618.62</v>
      </c>
      <c r="I9" s="88">
        <f ca="1">I11*72%</f>
        <v>886.33044282183118</v>
      </c>
      <c r="J9" s="88">
        <f t="shared" ref="J9:M9" ca="1" si="1">J11*72%</f>
        <v>1151.2118937608693</v>
      </c>
      <c r="K9" s="88">
        <f t="shared" ca="1" si="1"/>
        <v>1493.5400789703674</v>
      </c>
      <c r="L9" s="88">
        <f t="shared" ca="1" si="1"/>
        <v>1935.6733833907601</v>
      </c>
      <c r="M9" s="88">
        <f t="shared" ca="1" si="1"/>
        <v>2506.4057718988402</v>
      </c>
    </row>
    <row r="10" spans="2:13" ht="15.6">
      <c r="B10" s="74"/>
      <c r="C10" s="75"/>
      <c r="D10" s="88"/>
      <c r="E10" s="88"/>
      <c r="F10" s="88"/>
      <c r="G10" s="88"/>
      <c r="H10" s="88"/>
      <c r="I10" s="88"/>
      <c r="J10" s="88"/>
      <c r="K10" s="88"/>
      <c r="L10" s="88"/>
      <c r="M10" s="88"/>
    </row>
    <row r="11" spans="2:13" ht="15.6">
      <c r="B11" s="76" t="s">
        <v>164</v>
      </c>
      <c r="C11" s="75"/>
      <c r="D11" s="89">
        <f>SUM(D8:D9)</f>
        <v>186.67099999999999</v>
      </c>
      <c r="E11" s="89">
        <f t="shared" ref="E11:H11" si="2">SUM(E8:E9)</f>
        <v>327.27800000000002</v>
      </c>
      <c r="F11" s="89">
        <f t="shared" si="2"/>
        <v>491.30500000000001</v>
      </c>
      <c r="G11" s="89">
        <f t="shared" si="2"/>
        <v>685.92639999999994</v>
      </c>
      <c r="H11" s="89">
        <f t="shared" si="2"/>
        <v>855.4</v>
      </c>
      <c r="I11" s="90">
        <f ca="1">'BALANCE SHEET'!H34-('BALANCE SHEET'!H41+'BALANCE SHEET'!H46+'BALANCE SHEET'!H47+'BALANCE SHEET'!H48+'BALANCE SHEET'!H49+'BALANCE SHEET'!H50+'BALANCE SHEET'!H56+'BALANCE SHEET'!H57+'BALANCE SHEET'!H58+'BALANCE SHEET'!H59+'BALANCE SHEET'!H60+'BALANCE SHEET'!H61+'BALANCE SHEET'!H62)</f>
        <v>1231.01450391921</v>
      </c>
      <c r="J11" s="90">
        <f ca="1">'BALANCE SHEET'!I34-('BALANCE SHEET'!I41+'BALANCE SHEET'!I46+'BALANCE SHEET'!I47+'BALANCE SHEET'!I48+'BALANCE SHEET'!I49+'BALANCE SHEET'!I50+'BALANCE SHEET'!I56+'BALANCE SHEET'!I57+'BALANCE SHEET'!I58+'BALANCE SHEET'!I59+'BALANCE SHEET'!I60+'BALANCE SHEET'!I61+'BALANCE SHEET'!I62)</f>
        <v>1598.9054080012074</v>
      </c>
      <c r="K11" s="90">
        <f ca="1">'BALANCE SHEET'!J34-('BALANCE SHEET'!J41+'BALANCE SHEET'!J46+'BALANCE SHEET'!J47+'BALANCE SHEET'!J48+'BALANCE SHEET'!J49+'BALANCE SHEET'!J50+'BALANCE SHEET'!J56+'BALANCE SHEET'!J57+'BALANCE SHEET'!J58+'BALANCE SHEET'!J59+'BALANCE SHEET'!J60+'BALANCE SHEET'!J61+'BALANCE SHEET'!J62)</f>
        <v>2074.3612207921769</v>
      </c>
      <c r="L11" s="90">
        <f ca="1">'BALANCE SHEET'!K34-('BALANCE SHEET'!K41+'BALANCE SHEET'!K46+'BALANCE SHEET'!K47+'BALANCE SHEET'!K48+'BALANCE SHEET'!K49+'BALANCE SHEET'!K50+'BALANCE SHEET'!K56+'BALANCE SHEET'!K57+'BALANCE SHEET'!K58+'BALANCE SHEET'!K59+'BALANCE SHEET'!K60+'BALANCE SHEET'!K61+'BALANCE SHEET'!K62)</f>
        <v>2688.435254709389</v>
      </c>
      <c r="M11" s="90">
        <f ca="1">'BALANCE SHEET'!L34-('BALANCE SHEET'!L41+'BALANCE SHEET'!L46+'BALANCE SHEET'!L47+'BALANCE SHEET'!L48+'BALANCE SHEET'!L49+'BALANCE SHEET'!L50+'BALANCE SHEET'!L56+'BALANCE SHEET'!L57+'BALANCE SHEET'!L58+'BALANCE SHEET'!L59+'BALANCE SHEET'!L60+'BALANCE SHEET'!L61+'BALANCE SHEET'!L62)</f>
        <v>3481.1191276372783</v>
      </c>
    </row>
    <row r="12" spans="2:13" s="85" customFormat="1" ht="15.6">
      <c r="B12" s="76" t="s">
        <v>171</v>
      </c>
      <c r="C12" s="94"/>
      <c r="D12" s="89"/>
      <c r="E12" s="89"/>
      <c r="F12" s="89"/>
      <c r="G12" s="89"/>
      <c r="H12" s="118"/>
      <c r="I12" s="122">
        <f ca="1">(I11+H11)/2</f>
        <v>1043.2072519596049</v>
      </c>
      <c r="J12" s="122">
        <f t="shared" ref="J12:M12" ca="1" si="3">(J11+I11)/2</f>
        <v>1414.9599559602088</v>
      </c>
      <c r="K12" s="122">
        <f t="shared" ca="1" si="3"/>
        <v>1836.6333143966922</v>
      </c>
      <c r="L12" s="122">
        <f t="shared" ca="1" si="3"/>
        <v>2381.3982377507828</v>
      </c>
      <c r="M12" s="122">
        <f t="shared" ca="1" si="3"/>
        <v>3084.7771911733334</v>
      </c>
    </row>
    <row r="13" spans="2:13" ht="15.6">
      <c r="B13" s="76" t="s">
        <v>147</v>
      </c>
      <c r="C13" s="75"/>
      <c r="D13" s="88">
        <f>'INCOME STATEMENT'!D16</f>
        <v>18.676600000000001</v>
      </c>
      <c r="E13" s="88">
        <f>'INCOME STATEMENT'!E16</f>
        <v>20.241</v>
      </c>
      <c r="F13" s="88">
        <f>'INCOME STATEMENT'!F16</f>
        <v>35.801900000000003</v>
      </c>
      <c r="G13" s="88">
        <f>'INCOME STATEMENT'!G16</f>
        <v>56.681599999999996</v>
      </c>
      <c r="H13" s="88">
        <f>'INCOME STATEMENT'!H16</f>
        <v>80.040000000000006</v>
      </c>
      <c r="I13" s="88">
        <f ca="1">I12*$I$14</f>
        <v>85.746166956045201</v>
      </c>
      <c r="J13" s="88">
        <f ca="1">J12*$I$14</f>
        <v>116.3022902610923</v>
      </c>
      <c r="K13" s="88">
        <f ca="1">K12*$I$14</f>
        <v>150.96162964498978</v>
      </c>
      <c r="L13" s="88">
        <f t="shared" ref="L13:M13" ca="1" si="4">L12*$I$14</f>
        <v>195.73845034094651</v>
      </c>
      <c r="M13" s="88">
        <f t="shared" ca="1" si="4"/>
        <v>253.55251275303735</v>
      </c>
    </row>
    <row r="14" spans="2:13" ht="15.6">
      <c r="B14" s="74" t="s">
        <v>165</v>
      </c>
      <c r="C14" s="77"/>
      <c r="D14" s="92">
        <f>D13/D11</f>
        <v>0.10005089167572896</v>
      </c>
      <c r="E14" s="92">
        <f>E13/E11</f>
        <v>6.1846503584108918E-2</v>
      </c>
      <c r="F14" s="92">
        <f>F13/F11</f>
        <v>7.287102716235333E-2</v>
      </c>
      <c r="G14" s="92">
        <f>G13/G11</f>
        <v>8.2635104874225568E-2</v>
      </c>
      <c r="H14" s="92">
        <f>H13/H11</f>
        <v>9.357025952770634E-2</v>
      </c>
      <c r="I14" s="91">
        <f>AVERAGE(D14:H14)</f>
        <v>8.2194757364824622E-2</v>
      </c>
      <c r="J14" s="95"/>
      <c r="K14" s="95"/>
      <c r="L14" s="95"/>
      <c r="M14" s="95"/>
    </row>
    <row r="17" spans="2:17">
      <c r="G17" s="85"/>
      <c r="H17" s="84"/>
      <c r="Q17" s="96"/>
    </row>
    <row r="20" spans="2:17">
      <c r="G20" s="85"/>
      <c r="H20" s="86"/>
    </row>
    <row r="23" spans="2:17" ht="15.6">
      <c r="B23" s="97"/>
      <c r="C23" s="98"/>
      <c r="D23" s="93"/>
      <c r="E23" s="93"/>
      <c r="F23" s="93"/>
      <c r="G23" s="93"/>
      <c r="H23" s="93"/>
      <c r="I23" s="93"/>
      <c r="J23" s="93"/>
      <c r="K23" s="93"/>
      <c r="L23" s="93"/>
      <c r="M23" s="93"/>
    </row>
    <row r="24" spans="2:17" ht="15.6">
      <c r="B24" s="99"/>
      <c r="C24" s="100"/>
      <c r="D24" s="47"/>
      <c r="E24" s="101"/>
      <c r="F24" s="102"/>
      <c r="G24" s="102"/>
      <c r="H24" s="102"/>
      <c r="I24" s="47"/>
      <c r="J24" s="47"/>
      <c r="K24" s="47"/>
      <c r="L24" s="47"/>
      <c r="M24" s="47"/>
    </row>
    <row r="25" spans="2:17" ht="15.6">
      <c r="B25" s="103"/>
      <c r="C25" s="104"/>
      <c r="D25" s="105"/>
      <c r="E25" s="105"/>
      <c r="F25" s="105"/>
      <c r="G25" s="105"/>
      <c r="H25" s="105"/>
      <c r="I25" s="106"/>
      <c r="J25" s="106"/>
      <c r="K25" s="106"/>
      <c r="L25" s="106"/>
      <c r="M25" s="106"/>
    </row>
    <row r="26" spans="2:17" ht="15.6">
      <c r="B26" s="103"/>
      <c r="C26" s="107"/>
      <c r="D26" s="108"/>
      <c r="E26" s="108"/>
      <c r="F26" s="108"/>
      <c r="G26" s="108"/>
      <c r="H26" s="108"/>
      <c r="I26" s="109"/>
      <c r="J26" s="109"/>
      <c r="K26" s="109"/>
      <c r="L26" s="109"/>
      <c r="M26" s="109"/>
    </row>
    <row r="27" spans="2:17" ht="15.6">
      <c r="B27" s="103"/>
      <c r="C27" s="107"/>
      <c r="D27" s="109"/>
      <c r="E27" s="109"/>
      <c r="F27" s="109"/>
      <c r="G27" s="109"/>
      <c r="H27" s="109"/>
      <c r="I27" s="109"/>
      <c r="J27" s="109"/>
      <c r="K27" s="109"/>
      <c r="L27" s="109"/>
      <c r="M27" s="109"/>
    </row>
    <row r="28" spans="2:17" ht="15.6">
      <c r="B28" s="110"/>
      <c r="C28" s="107"/>
      <c r="D28" s="111"/>
      <c r="E28" s="111"/>
      <c r="F28" s="111"/>
      <c r="G28" s="111"/>
      <c r="H28" s="111"/>
      <c r="I28" s="111"/>
      <c r="J28" s="111"/>
      <c r="K28" s="111"/>
      <c r="L28" s="111"/>
      <c r="M28" s="111"/>
    </row>
    <row r="29" spans="2:17" ht="15.6">
      <c r="B29" s="110"/>
      <c r="C29" s="107"/>
      <c r="D29" s="108"/>
      <c r="E29" s="108"/>
      <c r="F29" s="108"/>
      <c r="G29" s="108"/>
      <c r="H29" s="108"/>
      <c r="I29" s="106"/>
      <c r="J29" s="106"/>
      <c r="K29" s="106"/>
      <c r="L29" s="106"/>
      <c r="M29" s="106"/>
    </row>
    <row r="30" spans="2:17" ht="15.6">
      <c r="B30" s="103"/>
      <c r="C30" s="112"/>
      <c r="D30" s="109"/>
      <c r="E30" s="109"/>
      <c r="F30" s="109"/>
      <c r="G30" s="109"/>
      <c r="H30" s="109"/>
      <c r="I30" s="105"/>
      <c r="J30" s="105"/>
      <c r="K30" s="105"/>
      <c r="L30" s="105"/>
      <c r="M30" s="105"/>
    </row>
    <row r="31" spans="2:17" ht="15.6">
      <c r="B31" s="103"/>
      <c r="C31" s="113"/>
      <c r="D31" s="114"/>
      <c r="E31" s="114"/>
      <c r="F31" s="114"/>
      <c r="G31" s="114"/>
      <c r="H31" s="114"/>
      <c r="I31" s="115"/>
      <c r="J31" s="115"/>
      <c r="K31" s="115"/>
      <c r="L31" s="115"/>
      <c r="M31" s="115"/>
    </row>
    <row r="32" spans="2:17">
      <c r="B32" s="61"/>
      <c r="C32" s="61"/>
      <c r="D32" s="87"/>
      <c r="E32" s="87"/>
      <c r="F32" s="87"/>
      <c r="G32" s="87"/>
      <c r="H32" s="87"/>
      <c r="I32" s="87"/>
      <c r="J32" s="87"/>
      <c r="K32" s="87"/>
      <c r="L32" s="87"/>
      <c r="M32" s="87"/>
    </row>
  </sheetData>
  <mergeCells count="2">
    <mergeCell ref="D5:H5"/>
    <mergeCell ref="I5: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505D-27CD-430D-B1FB-5B4085555FBA}">
  <dimension ref="A1:K34"/>
  <sheetViews>
    <sheetView showGridLines="0" topLeftCell="B6" workbookViewId="0">
      <selection activeCell="G9" sqref="G9"/>
    </sheetView>
  </sheetViews>
  <sheetFormatPr defaultRowHeight="14.4"/>
  <cols>
    <col min="1" max="1" width="1.88671875" customWidth="1"/>
    <col min="2" max="2" width="47.33203125" bestFit="1" customWidth="1"/>
    <col min="3" max="3" width="20.21875" bestFit="1" customWidth="1"/>
    <col min="4" max="4" width="8.5546875" bestFit="1" customWidth="1"/>
    <col min="5" max="5" width="10.88671875" customWidth="1"/>
    <col min="6" max="6" width="8.6640625" bestFit="1" customWidth="1"/>
    <col min="7" max="7" width="37.77734375" bestFit="1" customWidth="1"/>
    <col min="9" max="9" width="12" bestFit="1" customWidth="1"/>
    <col min="10" max="10" width="5.88671875" bestFit="1" customWidth="1"/>
    <col min="11" max="11" width="10" bestFit="1" customWidth="1"/>
  </cols>
  <sheetData>
    <row r="1" spans="1:11">
      <c r="B1" s="55" t="s">
        <v>189</v>
      </c>
    </row>
    <row r="2" spans="1:11">
      <c r="A2" s="55"/>
      <c r="B2" s="176" t="s">
        <v>175</v>
      </c>
      <c r="C2" s="190" t="s">
        <v>178</v>
      </c>
      <c r="D2" s="191" t="s">
        <v>179</v>
      </c>
      <c r="E2" s="190" t="s">
        <v>176</v>
      </c>
      <c r="F2" s="190" t="s">
        <v>177</v>
      </c>
      <c r="G2" s="84"/>
      <c r="H2" s="84"/>
    </row>
    <row r="3" spans="1:11">
      <c r="A3" s="55"/>
      <c r="B3" s="132" t="s">
        <v>183</v>
      </c>
      <c r="C3" s="184">
        <f>55630.48 +125630.36+168.21+48.9/100</f>
        <v>181429.53899999999</v>
      </c>
      <c r="D3" s="185">
        <f>1176* 13.35</f>
        <v>15699.6</v>
      </c>
      <c r="E3" s="186">
        <f>C3/SUM(C3:D3)</f>
        <v>0.92035880601091646</v>
      </c>
      <c r="F3" s="186">
        <f>D3/SUM(C3:D3)</f>
        <v>7.9641193989083481E-2</v>
      </c>
    </row>
    <row r="4" spans="1:11">
      <c r="A4" s="55"/>
      <c r="B4" s="132" t="s">
        <v>184</v>
      </c>
      <c r="C4" s="184">
        <f xml:space="preserve"> 608.7+704.52+ 487.58+ 39.7*0.1</f>
        <v>1804.77</v>
      </c>
      <c r="D4" s="185">
        <f xml:space="preserve"> 6.13*200</f>
        <v>1226</v>
      </c>
      <c r="E4" s="186">
        <f t="shared" ref="E4:E7" si="0">C4/SUM(C4:D4)</f>
        <v>0.59548233617199586</v>
      </c>
      <c r="F4" s="186">
        <f t="shared" ref="F4:F7" si="1">D4/SUM(C4:D4)</f>
        <v>0.40451766382800408</v>
      </c>
    </row>
    <row r="5" spans="1:11">
      <c r="A5" s="55"/>
      <c r="B5" s="132" t="s">
        <v>185</v>
      </c>
      <c r="C5" s="184">
        <f xml:space="preserve"> 39.22+ 2.87/100</f>
        <v>39.248699999999999</v>
      </c>
      <c r="D5" s="185">
        <f>13.62* 1326</f>
        <v>18060.12</v>
      </c>
      <c r="E5" s="186">
        <f t="shared" si="0"/>
        <v>2.1685120984357869E-3</v>
      </c>
      <c r="F5" s="186">
        <f t="shared" si="1"/>
        <v>0.99783148790156417</v>
      </c>
    </row>
    <row r="6" spans="1:11">
      <c r="A6" s="55"/>
      <c r="B6" s="132" t="s">
        <v>186</v>
      </c>
      <c r="C6" s="184">
        <f xml:space="preserve"> 195.78 + 71.19+ 384.41 + 73.34 *0.1</f>
        <v>658.71400000000006</v>
      </c>
      <c r="D6" s="185">
        <f>0.2566*7290</f>
        <v>1870.614</v>
      </c>
      <c r="E6" s="186">
        <f t="shared" si="0"/>
        <v>0.26043043844056607</v>
      </c>
      <c r="F6" s="186">
        <f t="shared" si="1"/>
        <v>0.73956956155943399</v>
      </c>
    </row>
    <row r="7" spans="1:11">
      <c r="A7" s="55"/>
      <c r="B7" s="133" t="s">
        <v>187</v>
      </c>
      <c r="C7" s="187">
        <f>1850+ 14 + 19*0.1</f>
        <v>1865.9</v>
      </c>
      <c r="D7" s="188">
        <f>6.36*504</f>
        <v>3205.44</v>
      </c>
      <c r="E7" s="189">
        <f t="shared" si="0"/>
        <v>0.36793036948814317</v>
      </c>
      <c r="F7" s="189">
        <f t="shared" si="1"/>
        <v>0.63206963051185683</v>
      </c>
    </row>
    <row r="8" spans="1:11">
      <c r="C8" s="61"/>
      <c r="D8" s="61"/>
      <c r="E8" s="135">
        <f>MEDIAN(E3:E7)</f>
        <v>0.36793036948814317</v>
      </c>
      <c r="F8" s="135">
        <f>MEDIAN(F3:F7)</f>
        <v>0.63206963051185683</v>
      </c>
    </row>
    <row r="9" spans="1:11">
      <c r="E9" s="134" t="s">
        <v>188</v>
      </c>
      <c r="F9" s="134"/>
    </row>
    <row r="12" spans="1:11">
      <c r="B12" s="145" t="s">
        <v>197</v>
      </c>
      <c r="C12" s="146">
        <v>0.25</v>
      </c>
    </row>
    <row r="14" spans="1:11" ht="15.6" customHeight="1">
      <c r="B14" s="85" t="s">
        <v>196</v>
      </c>
      <c r="C14" s="148" t="s">
        <v>199</v>
      </c>
      <c r="D14" s="149" t="s">
        <v>198</v>
      </c>
      <c r="E14" s="150"/>
      <c r="G14" s="85" t="s">
        <v>200</v>
      </c>
    </row>
    <row r="16" spans="1:11">
      <c r="B16" s="144" t="s">
        <v>190</v>
      </c>
      <c r="C16" s="144" t="s">
        <v>191</v>
      </c>
      <c r="D16" s="144" t="s">
        <v>192</v>
      </c>
      <c r="G16" s="144" t="s">
        <v>190</v>
      </c>
      <c r="H16" s="144" t="s">
        <v>191</v>
      </c>
      <c r="I16" s="144" t="s">
        <v>192</v>
      </c>
      <c r="K16" s="142"/>
    </row>
    <row r="17" spans="2:11">
      <c r="B17" s="138" t="s">
        <v>193</v>
      </c>
      <c r="C17" s="151"/>
      <c r="D17" s="153">
        <f>'DEBT SCHEDULE'!I14</f>
        <v>8.2194757364824622E-2</v>
      </c>
      <c r="G17" s="138" t="s">
        <v>203</v>
      </c>
      <c r="H17" s="151"/>
      <c r="I17" s="156">
        <v>6.9150000000000003E-2</v>
      </c>
      <c r="K17" s="143" t="s">
        <v>204</v>
      </c>
    </row>
    <row r="18" spans="2:11">
      <c r="B18" s="138"/>
      <c r="C18" s="152"/>
      <c r="D18" s="152"/>
      <c r="G18" s="138" t="s">
        <v>201</v>
      </c>
      <c r="H18" s="152"/>
      <c r="I18" s="157" t="s">
        <v>209</v>
      </c>
      <c r="K18" s="142"/>
    </row>
    <row r="19" spans="2:11">
      <c r="B19" s="138" t="s">
        <v>194</v>
      </c>
      <c r="C19" s="152"/>
      <c r="D19" s="154">
        <f>C12</f>
        <v>0.25</v>
      </c>
      <c r="G19" s="138" t="s">
        <v>202</v>
      </c>
      <c r="H19" s="152"/>
      <c r="I19" s="155">
        <v>8.8999999999999999E-3</v>
      </c>
      <c r="K19" s="143" t="s">
        <v>206</v>
      </c>
    </row>
    <row r="20" spans="2:11">
      <c r="B20" s="139" t="s">
        <v>195</v>
      </c>
      <c r="C20" s="131"/>
      <c r="D20" s="170">
        <f>D17*(1-D19)</f>
        <v>6.1646068023618467E-2</v>
      </c>
      <c r="G20" s="138" t="s">
        <v>193</v>
      </c>
      <c r="H20" s="152"/>
      <c r="I20" s="155">
        <f>I17+I19</f>
        <v>7.8050000000000008E-2</v>
      </c>
      <c r="K20" s="85" t="s">
        <v>207</v>
      </c>
    </row>
    <row r="21" spans="2:11">
      <c r="G21" s="138"/>
      <c r="H21" s="152"/>
      <c r="I21" s="152"/>
      <c r="K21" s="85" t="s">
        <v>208</v>
      </c>
    </row>
    <row r="22" spans="2:11">
      <c r="G22" s="138" t="s">
        <v>194</v>
      </c>
      <c r="H22" s="152"/>
      <c r="I22" s="154">
        <f>C12</f>
        <v>0.25</v>
      </c>
    </row>
    <row r="23" spans="2:11">
      <c r="B23" s="136" t="s">
        <v>211</v>
      </c>
      <c r="C23" s="156">
        <f>'REGRESSION BETA'!F5</f>
        <v>2.4824687352166294E-2</v>
      </c>
      <c r="G23" s="139" t="s">
        <v>195</v>
      </c>
      <c r="H23" s="131"/>
      <c r="I23" s="158">
        <f>I20*(1-I22)</f>
        <v>5.8537500000000006E-2</v>
      </c>
    </row>
    <row r="24" spans="2:11">
      <c r="B24" s="138" t="s">
        <v>212</v>
      </c>
      <c r="C24" s="155">
        <v>7.0800000000000002E-2</v>
      </c>
    </row>
    <row r="25" spans="2:11">
      <c r="B25" s="138" t="s">
        <v>213</v>
      </c>
      <c r="C25" s="179">
        <f>'REGRESSION BETA'!C8</f>
        <v>1.2985002572741451</v>
      </c>
    </row>
    <row r="26" spans="2:11">
      <c r="B26" s="139" t="s">
        <v>214</v>
      </c>
      <c r="C26" s="170">
        <f>I17+C25*(C24)</f>
        <v>0.16108381821500947</v>
      </c>
    </row>
    <row r="27" spans="2:11">
      <c r="B27" s="159" t="s">
        <v>216</v>
      </c>
    </row>
    <row r="30" spans="2:11">
      <c r="B30" s="151" t="s">
        <v>211</v>
      </c>
      <c r="C30" s="156">
        <f>'REGRESSION BETA'!F5</f>
        <v>2.4824687352166294E-2</v>
      </c>
    </row>
    <row r="31" spans="2:11">
      <c r="B31" s="152" t="s">
        <v>212</v>
      </c>
      <c r="C31" s="155">
        <v>7.0800000000000002E-2</v>
      </c>
      <c r="E31" s="143" t="s">
        <v>210</v>
      </c>
    </row>
    <row r="32" spans="2:11">
      <c r="B32" s="152" t="s">
        <v>215</v>
      </c>
      <c r="C32" s="179">
        <f>'BOTTOM UP BETA'!E15</f>
        <v>0.4372712597090937</v>
      </c>
    </row>
    <row r="33" spans="2:5">
      <c r="B33" s="131" t="s">
        <v>214</v>
      </c>
      <c r="C33" s="170">
        <f>I17+C32*(C31)</f>
        <v>0.10010880518740384</v>
      </c>
      <c r="D33" s="121" t="s">
        <v>370</v>
      </c>
      <c r="E33" s="61" t="s">
        <v>198</v>
      </c>
    </row>
    <row r="34" spans="2:5">
      <c r="B34" s="159" t="s">
        <v>356</v>
      </c>
    </row>
  </sheetData>
  <hyperlinks>
    <hyperlink ref="K17" r:id="rId1" xr:uid="{37956CA7-DF74-4099-9F6E-6FCE96577902}"/>
    <hyperlink ref="K19" r:id="rId2" xr:uid="{CC105819-03F6-41D7-9348-C60E5E8A8192}"/>
    <hyperlink ref="E31" r:id="rId3" xr:uid="{B52FD692-E28C-47A8-BCC8-A22DD2F0EF9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8157-3308-4CFB-A937-C76A48FCE152}">
  <dimension ref="B2:AC220"/>
  <sheetViews>
    <sheetView showGridLines="0" workbookViewId="0">
      <selection activeCell="I7" sqref="I7"/>
    </sheetView>
  </sheetViews>
  <sheetFormatPr defaultRowHeight="14.4"/>
  <cols>
    <col min="1" max="1" width="1.88671875" customWidth="1"/>
    <col min="2" max="2" width="28.21875" bestFit="1" customWidth="1"/>
    <col min="3" max="3" width="17.6640625" style="55" bestFit="1" customWidth="1"/>
    <col min="4" max="4" width="8.88671875" style="55"/>
    <col min="6" max="7" width="10.33203125" bestFit="1" customWidth="1"/>
    <col min="11" max="11" width="20.44140625" bestFit="1" customWidth="1"/>
    <col min="15" max="15" width="28.21875" style="55" bestFit="1" customWidth="1"/>
    <col min="17" max="17" width="10" customWidth="1"/>
    <col min="19" max="19" width="11.21875" style="55" bestFit="1" customWidth="1"/>
    <col min="23" max="23" width="16.44140625" style="55" bestFit="1" customWidth="1"/>
    <col min="27" max="27" width="16.33203125" bestFit="1" customWidth="1"/>
  </cols>
  <sheetData>
    <row r="2" spans="2:29">
      <c r="B2" s="176" t="s">
        <v>175</v>
      </c>
      <c r="C2" s="183" t="s">
        <v>213</v>
      </c>
      <c r="E2" s="140" t="s">
        <v>221</v>
      </c>
      <c r="F2" s="177">
        <v>9.3974687352166297E-2</v>
      </c>
    </row>
    <row r="3" spans="2:29">
      <c r="B3" s="173" t="s">
        <v>183</v>
      </c>
      <c r="C3" s="180">
        <f>SLOPE(M12:M219,I12:I219)</f>
        <v>0.9023581481929609</v>
      </c>
      <c r="E3" s="137" t="s">
        <v>348</v>
      </c>
      <c r="F3" s="141">
        <f>_xlfn.RRI(5,H219,H12)</f>
        <v>9.3974687352166297E-2</v>
      </c>
    </row>
    <row r="4" spans="2:29">
      <c r="B4" s="173" t="s">
        <v>184</v>
      </c>
      <c r="C4" s="180">
        <f>SLOPE(Q12:Q219,I12:I219)</f>
        <v>0.91098660567637191</v>
      </c>
      <c r="E4" s="137" t="s">
        <v>349</v>
      </c>
      <c r="F4" s="141">
        <f>WACC!I17</f>
        <v>6.9150000000000003E-2</v>
      </c>
    </row>
    <row r="5" spans="2:29">
      <c r="B5" s="173" t="s">
        <v>185</v>
      </c>
      <c r="C5" s="180">
        <f>SLOPE(U12:U219,I12:I219)</f>
        <v>0.7900514099700402</v>
      </c>
      <c r="E5" s="178" t="s">
        <v>350</v>
      </c>
      <c r="F5" s="147">
        <f>F3-F4</f>
        <v>2.4824687352166294E-2</v>
      </c>
    </row>
    <row r="6" spans="2:29">
      <c r="B6" s="173" t="s">
        <v>186</v>
      </c>
      <c r="C6" s="180">
        <f>SLOPE(Y12:Y219,I12:I219)</f>
        <v>0.62740783867406169</v>
      </c>
    </row>
    <row r="7" spans="2:29">
      <c r="B7" s="174" t="s">
        <v>187</v>
      </c>
      <c r="C7" s="181">
        <f>SLOPE(AC12:AC219,I12:I219)</f>
        <v>0.53646050386313215</v>
      </c>
    </row>
    <row r="8" spans="2:29">
      <c r="B8" s="228" t="s">
        <v>347</v>
      </c>
      <c r="C8" s="182">
        <f>SLOPE(E12:E219,I12:I219)</f>
        <v>1.2985002572741451</v>
      </c>
    </row>
    <row r="10" spans="2:29">
      <c r="C10" s="172" t="s">
        <v>347</v>
      </c>
      <c r="D10" s="172"/>
      <c r="E10" s="167"/>
      <c r="G10" s="166" t="s">
        <v>220</v>
      </c>
      <c r="H10" s="166"/>
      <c r="I10" s="167"/>
      <c r="K10" s="172" t="s">
        <v>183</v>
      </c>
      <c r="L10" s="166"/>
      <c r="M10" s="167"/>
      <c r="O10" s="175" t="s">
        <v>184</v>
      </c>
      <c r="P10" s="166"/>
      <c r="Q10" s="171"/>
      <c r="S10" s="172" t="s">
        <v>185</v>
      </c>
      <c r="T10" s="166"/>
      <c r="U10" s="171"/>
      <c r="W10" s="172" t="s">
        <v>186</v>
      </c>
      <c r="X10" s="166"/>
      <c r="Y10" s="171"/>
      <c r="AA10" s="172" t="s">
        <v>187</v>
      </c>
      <c r="AB10" s="166"/>
      <c r="AC10" s="171"/>
    </row>
    <row r="11" spans="2:29">
      <c r="C11" s="164" t="s">
        <v>217</v>
      </c>
      <c r="D11" s="164" t="s">
        <v>218</v>
      </c>
      <c r="E11" s="160" t="s">
        <v>219</v>
      </c>
      <c r="G11" s="160" t="s">
        <v>217</v>
      </c>
      <c r="H11" s="160" t="s">
        <v>218</v>
      </c>
      <c r="I11" s="160" t="s">
        <v>219</v>
      </c>
      <c r="K11" s="164" t="s">
        <v>217</v>
      </c>
      <c r="L11" s="164" t="s">
        <v>218</v>
      </c>
      <c r="M11" s="160" t="s">
        <v>219</v>
      </c>
      <c r="O11" s="164" t="s">
        <v>217</v>
      </c>
      <c r="P11" s="164" t="s">
        <v>218</v>
      </c>
      <c r="Q11" s="160" t="s">
        <v>219</v>
      </c>
      <c r="S11" s="164" t="s">
        <v>217</v>
      </c>
      <c r="T11" s="164" t="s">
        <v>218</v>
      </c>
      <c r="U11" s="160" t="s">
        <v>219</v>
      </c>
      <c r="W11" s="164" t="s">
        <v>217</v>
      </c>
      <c r="X11" s="164" t="s">
        <v>218</v>
      </c>
      <c r="Y11" s="160" t="s">
        <v>219</v>
      </c>
      <c r="AA11" s="164" t="s">
        <v>217</v>
      </c>
      <c r="AB11" s="164" t="s">
        <v>218</v>
      </c>
      <c r="AC11" s="160" t="s">
        <v>219</v>
      </c>
    </row>
    <row r="12" spans="2:29">
      <c r="C12" s="164" t="s">
        <v>222</v>
      </c>
      <c r="D12" s="164">
        <v>526.85</v>
      </c>
      <c r="E12" s="163">
        <f>D12/D13-1</f>
        <v>-6.9744857420323103E-2</v>
      </c>
      <c r="G12" s="168">
        <v>45746</v>
      </c>
      <c r="H12" s="169">
        <v>22904.45</v>
      </c>
      <c r="I12" s="170">
        <f>H12/H13-1</f>
        <v>-2.6144430011883713E-2</v>
      </c>
      <c r="K12" s="164" t="s">
        <v>222</v>
      </c>
      <c r="L12" s="164">
        <v>550.79999999999995</v>
      </c>
      <c r="M12" s="163">
        <f>L12/L13-1</f>
        <v>-7.5675675675676013E-3</v>
      </c>
      <c r="O12" s="164" t="s">
        <v>222</v>
      </c>
      <c r="P12" s="160">
        <v>300.95</v>
      </c>
      <c r="Q12" s="163">
        <f>P12/P13-1</f>
        <v>2.9663336526618345E-2</v>
      </c>
      <c r="S12" s="164" t="s">
        <v>222</v>
      </c>
      <c r="T12" s="160">
        <v>719.7</v>
      </c>
      <c r="U12" s="163">
        <f>T12/T13-1</f>
        <v>-0.21228041372516826</v>
      </c>
      <c r="W12" s="164" t="s">
        <v>222</v>
      </c>
      <c r="X12" s="162">
        <v>8004.25</v>
      </c>
      <c r="Y12" s="163">
        <f>X12/X13-1</f>
        <v>-2.6152180260852753E-2</v>
      </c>
      <c r="AA12" s="164" t="s">
        <v>222</v>
      </c>
      <c r="AB12" s="164">
        <v>339.44</v>
      </c>
      <c r="AC12" s="163">
        <f>AB12/AB13-1</f>
        <v>9.9375185956560586E-3</v>
      </c>
    </row>
    <row r="13" spans="2:29">
      <c r="C13" s="164" t="s">
        <v>223</v>
      </c>
      <c r="D13" s="164">
        <v>566.35</v>
      </c>
      <c r="E13" s="163">
        <f t="shared" ref="E13:E76" si="0">D13/D14-1</f>
        <v>1.9440194401944222E-2</v>
      </c>
      <c r="G13" s="161">
        <v>45739</v>
      </c>
      <c r="H13" s="162">
        <v>23519.35</v>
      </c>
      <c r="I13" s="163">
        <f t="shared" ref="I13:I76" si="1">H13/H14-1</f>
        <v>7.2354220912702605E-3</v>
      </c>
      <c r="K13" s="164" t="s">
        <v>223</v>
      </c>
      <c r="L13" s="164">
        <v>555</v>
      </c>
      <c r="M13" s="163">
        <f t="shared" ref="M13:M76" si="2">L13/L14-1</f>
        <v>-6.4554188437552562E-2</v>
      </c>
      <c r="O13" s="164" t="s">
        <v>223</v>
      </c>
      <c r="P13" s="160">
        <v>292.27999999999997</v>
      </c>
      <c r="Q13" s="163">
        <f t="shared" ref="Q13:Q76" si="3">P13/P14-1</f>
        <v>-6.3625296341385362E-2</v>
      </c>
      <c r="S13" s="164" t="s">
        <v>223</v>
      </c>
      <c r="T13" s="160">
        <v>913.65</v>
      </c>
      <c r="U13" s="163">
        <f t="shared" ref="U13:U76" si="4">T13/T14-1</f>
        <v>-2.168326373273366E-2</v>
      </c>
      <c r="W13" s="164" t="s">
        <v>223</v>
      </c>
      <c r="X13" s="162">
        <v>8219.2000000000007</v>
      </c>
      <c r="Y13" s="163">
        <f t="shared" ref="Y13:Y76" si="5">X13/X14-1</f>
        <v>-6.3077440424961773E-2</v>
      </c>
      <c r="AA13" s="164" t="s">
        <v>223</v>
      </c>
      <c r="AB13" s="164">
        <v>336.1</v>
      </c>
      <c r="AC13" s="163">
        <f t="shared" ref="AC13:AC76" si="6">AB13/AB14-1</f>
        <v>7.7356680259055288E-3</v>
      </c>
    </row>
    <row r="14" spans="2:29">
      <c r="C14" s="164" t="s">
        <v>224</v>
      </c>
      <c r="D14" s="164">
        <v>555.54999999999995</v>
      </c>
      <c r="E14" s="163">
        <f t="shared" si="0"/>
        <v>3.9090994108295085E-2</v>
      </c>
      <c r="G14" s="161">
        <v>45732</v>
      </c>
      <c r="H14" s="162">
        <v>23350.400000000001</v>
      </c>
      <c r="I14" s="163">
        <f t="shared" si="1"/>
        <v>4.2558891289982803E-2</v>
      </c>
      <c r="K14" s="164" t="s">
        <v>224</v>
      </c>
      <c r="L14" s="164">
        <v>593.29999999999995</v>
      </c>
      <c r="M14" s="163">
        <f t="shared" si="2"/>
        <v>4.0147265077138838E-2</v>
      </c>
      <c r="O14" s="164" t="s">
        <v>224</v>
      </c>
      <c r="P14" s="160">
        <v>312.14</v>
      </c>
      <c r="Q14" s="163">
        <f t="shared" si="3"/>
        <v>4.2377692436132985E-2</v>
      </c>
      <c r="S14" s="164" t="s">
        <v>224</v>
      </c>
      <c r="T14" s="160">
        <v>933.9</v>
      </c>
      <c r="U14" s="163">
        <f t="shared" si="4"/>
        <v>0.10842086523055006</v>
      </c>
      <c r="W14" s="164" t="s">
        <v>224</v>
      </c>
      <c r="X14" s="162">
        <v>8772.5499999999993</v>
      </c>
      <c r="Y14" s="163">
        <f t="shared" si="5"/>
        <v>2.7387072973637405E-2</v>
      </c>
      <c r="AA14" s="164" t="s">
        <v>224</v>
      </c>
      <c r="AB14" s="164">
        <v>333.52</v>
      </c>
      <c r="AC14" s="163">
        <f t="shared" si="6"/>
        <v>4.8145820238843395E-2</v>
      </c>
    </row>
    <row r="15" spans="2:29">
      <c r="C15" s="165">
        <v>45903</v>
      </c>
      <c r="D15" s="164">
        <v>534.65</v>
      </c>
      <c r="E15" s="163">
        <f t="shared" si="0"/>
        <v>8.9639554632949814E-3</v>
      </c>
      <c r="G15" s="161">
        <v>45725</v>
      </c>
      <c r="H15" s="162">
        <v>22397.200000000001</v>
      </c>
      <c r="I15" s="163">
        <f t="shared" si="1"/>
        <v>-6.8861545283227521E-3</v>
      </c>
      <c r="K15" s="165">
        <v>45903</v>
      </c>
      <c r="L15" s="164">
        <v>570.4</v>
      </c>
      <c r="M15" s="163">
        <f t="shared" si="2"/>
        <v>-4.7348643006263069E-2</v>
      </c>
      <c r="O15" s="165">
        <v>45903</v>
      </c>
      <c r="P15" s="160">
        <v>299.45</v>
      </c>
      <c r="Q15" s="163">
        <f t="shared" si="3"/>
        <v>4.7064582677715849E-2</v>
      </c>
      <c r="S15" s="165">
        <v>45903</v>
      </c>
      <c r="T15" s="160">
        <v>842.55</v>
      </c>
      <c r="U15" s="163">
        <f t="shared" si="4"/>
        <v>5.490171528734189E-2</v>
      </c>
      <c r="W15" s="165">
        <v>45903</v>
      </c>
      <c r="X15" s="162">
        <v>8538.7000000000007</v>
      </c>
      <c r="Y15" s="163">
        <f t="shared" si="5"/>
        <v>8.6647332951383937E-3</v>
      </c>
      <c r="AA15" s="165">
        <v>45903</v>
      </c>
      <c r="AB15" s="164">
        <v>318.2</v>
      </c>
      <c r="AC15" s="163">
        <f t="shared" si="6"/>
        <v>-1.0110437081972345E-2</v>
      </c>
    </row>
    <row r="16" spans="2:29">
      <c r="C16" s="165">
        <v>45691</v>
      </c>
      <c r="D16" s="164">
        <v>529.9</v>
      </c>
      <c r="E16" s="163">
        <f t="shared" si="0"/>
        <v>3.8205329153605083E-2</v>
      </c>
      <c r="G16" s="161">
        <v>45718</v>
      </c>
      <c r="H16" s="162">
        <v>22552.5</v>
      </c>
      <c r="I16" s="163">
        <f t="shared" si="1"/>
        <v>1.9335855401429125E-2</v>
      </c>
      <c r="K16" s="165">
        <v>45691</v>
      </c>
      <c r="L16" s="164">
        <v>598.75</v>
      </c>
      <c r="M16" s="163">
        <f t="shared" si="2"/>
        <v>3.1971733884867293E-2</v>
      </c>
      <c r="O16" s="165">
        <v>45691</v>
      </c>
      <c r="P16" s="160">
        <v>285.99</v>
      </c>
      <c r="Q16" s="163">
        <f t="shared" si="3"/>
        <v>8.2598326834992575E-2</v>
      </c>
      <c r="S16" s="165">
        <v>45691</v>
      </c>
      <c r="T16" s="160">
        <v>798.7</v>
      </c>
      <c r="U16" s="163">
        <f t="shared" si="4"/>
        <v>0.15310763011622042</v>
      </c>
      <c r="W16" s="165">
        <v>45691</v>
      </c>
      <c r="X16" s="162">
        <v>8465.35</v>
      </c>
      <c r="Y16" s="163">
        <f t="shared" si="5"/>
        <v>-3.7585479680989575E-2</v>
      </c>
      <c r="AA16" s="165">
        <v>45691</v>
      </c>
      <c r="AB16" s="164">
        <v>321.45</v>
      </c>
      <c r="AC16" s="163">
        <f t="shared" si="6"/>
        <v>2.9430602702875897E-2</v>
      </c>
    </row>
    <row r="17" spans="3:29">
      <c r="C17" s="164" t="s">
        <v>225</v>
      </c>
      <c r="D17" s="164">
        <v>510.4</v>
      </c>
      <c r="E17" s="163">
        <f t="shared" si="0"/>
        <v>-8.3003952569170036E-2</v>
      </c>
      <c r="G17" s="161">
        <v>45711</v>
      </c>
      <c r="H17" s="162">
        <v>22124.7</v>
      </c>
      <c r="I17" s="163">
        <f t="shared" si="1"/>
        <v>-2.9443891226053842E-2</v>
      </c>
      <c r="K17" s="164" t="s">
        <v>225</v>
      </c>
      <c r="L17" s="164">
        <v>580.20000000000005</v>
      </c>
      <c r="M17" s="163">
        <f t="shared" si="2"/>
        <v>-3.2435587425998391E-2</v>
      </c>
      <c r="O17" s="164" t="s">
        <v>225</v>
      </c>
      <c r="P17" s="160">
        <v>264.17</v>
      </c>
      <c r="Q17" s="163">
        <f t="shared" si="3"/>
        <v>-3.9835714026096647E-2</v>
      </c>
      <c r="S17" s="164" t="s">
        <v>225</v>
      </c>
      <c r="T17" s="160">
        <v>692.65</v>
      </c>
      <c r="U17" s="163">
        <f t="shared" si="4"/>
        <v>-4.382937603533954E-2</v>
      </c>
      <c r="W17" s="164" t="s">
        <v>225</v>
      </c>
      <c r="X17" s="162">
        <v>8795.9500000000007</v>
      </c>
      <c r="Y17" s="163">
        <f t="shared" si="5"/>
        <v>-1.9753265278830257E-2</v>
      </c>
      <c r="AA17" s="164" t="s">
        <v>225</v>
      </c>
      <c r="AB17" s="164">
        <v>312.26</v>
      </c>
      <c r="AC17" s="163">
        <f t="shared" si="6"/>
        <v>-6.1069849956400191E-2</v>
      </c>
    </row>
    <row r="18" spans="3:29">
      <c r="C18" s="164" t="s">
        <v>226</v>
      </c>
      <c r="D18" s="164">
        <v>556.6</v>
      </c>
      <c r="E18" s="163">
        <f t="shared" si="0"/>
        <v>5.9584999048163168E-2</v>
      </c>
      <c r="G18" s="161">
        <v>45704</v>
      </c>
      <c r="H18" s="162">
        <v>22795.9</v>
      </c>
      <c r="I18" s="163">
        <f t="shared" si="1"/>
        <v>-5.8157157342695331E-3</v>
      </c>
      <c r="K18" s="164" t="s">
        <v>226</v>
      </c>
      <c r="L18" s="164">
        <v>599.65</v>
      </c>
      <c r="M18" s="163">
        <f t="shared" si="2"/>
        <v>2.0889037433156066E-3</v>
      </c>
      <c r="O18" s="164" t="s">
        <v>226</v>
      </c>
      <c r="P18" s="160">
        <v>275.13</v>
      </c>
      <c r="Q18" s="163">
        <f t="shared" si="3"/>
        <v>1.2065477285267523E-2</v>
      </c>
      <c r="S18" s="164" t="s">
        <v>226</v>
      </c>
      <c r="T18" s="160">
        <v>724.4</v>
      </c>
      <c r="U18" s="163">
        <f t="shared" si="4"/>
        <v>9.9241274658573575E-2</v>
      </c>
      <c r="W18" s="164" t="s">
        <v>226</v>
      </c>
      <c r="X18" s="162">
        <v>8973.2000000000007</v>
      </c>
      <c r="Y18" s="163">
        <f t="shared" si="5"/>
        <v>1.8421963446357825E-3</v>
      </c>
      <c r="AA18" s="164" t="s">
        <v>226</v>
      </c>
      <c r="AB18" s="164">
        <v>332.57</v>
      </c>
      <c r="AC18" s="163">
        <f t="shared" si="6"/>
        <v>-1.1767153002704034E-2</v>
      </c>
    </row>
    <row r="19" spans="3:29">
      <c r="C19" s="165">
        <v>45902</v>
      </c>
      <c r="D19" s="164">
        <v>525.29999999999995</v>
      </c>
      <c r="E19" s="163">
        <f t="shared" si="0"/>
        <v>-5.1890623589928686E-2</v>
      </c>
      <c r="G19" s="161">
        <v>45697</v>
      </c>
      <c r="H19" s="162">
        <v>22929.25</v>
      </c>
      <c r="I19" s="163">
        <f t="shared" si="1"/>
        <v>-2.6770005878620329E-2</v>
      </c>
      <c r="K19" s="165">
        <v>45902</v>
      </c>
      <c r="L19" s="164">
        <v>598.4</v>
      </c>
      <c r="M19" s="163">
        <f t="shared" si="2"/>
        <v>-8.5504699319935873E-2</v>
      </c>
      <c r="O19" s="165">
        <v>45902</v>
      </c>
      <c r="P19" s="160">
        <v>271.85000000000002</v>
      </c>
      <c r="Q19" s="163">
        <f t="shared" si="3"/>
        <v>-7.9410768709786583E-2</v>
      </c>
      <c r="S19" s="165">
        <v>45902</v>
      </c>
      <c r="T19" s="160">
        <v>659</v>
      </c>
      <c r="U19" s="163">
        <f t="shared" si="4"/>
        <v>-8.4849326482433041E-2</v>
      </c>
      <c r="W19" s="165">
        <v>45902</v>
      </c>
      <c r="X19" s="162">
        <v>8956.7000000000007</v>
      </c>
      <c r="Y19" s="163">
        <f t="shared" si="5"/>
        <v>-0.10893236433819309</v>
      </c>
      <c r="AA19" s="165">
        <v>45902</v>
      </c>
      <c r="AB19" s="164">
        <v>336.53</v>
      </c>
      <c r="AC19" s="163">
        <f t="shared" si="6"/>
        <v>-6.0182082216264532E-2</v>
      </c>
    </row>
    <row r="20" spans="3:29">
      <c r="C20" s="165">
        <v>45690</v>
      </c>
      <c r="D20" s="164">
        <v>554.04999999999995</v>
      </c>
      <c r="E20" s="163">
        <f t="shared" si="0"/>
        <v>9.323204419889497E-2</v>
      </c>
      <c r="G20" s="161">
        <v>45690</v>
      </c>
      <c r="H20" s="162">
        <v>23559.95</v>
      </c>
      <c r="I20" s="163">
        <f t="shared" si="1"/>
        <v>2.1928332000475947E-3</v>
      </c>
      <c r="K20" s="165">
        <v>45690</v>
      </c>
      <c r="L20" s="164">
        <v>654.35</v>
      </c>
      <c r="M20" s="163">
        <f t="shared" si="2"/>
        <v>5.2517291298053603E-2</v>
      </c>
      <c r="O20" s="165">
        <v>45690</v>
      </c>
      <c r="P20" s="160">
        <v>295.3</v>
      </c>
      <c r="Q20" s="163">
        <f t="shared" si="3"/>
        <v>4.455933875301854E-3</v>
      </c>
      <c r="S20" s="165">
        <v>45690</v>
      </c>
      <c r="T20" s="160">
        <v>720.1</v>
      </c>
      <c r="U20" s="163">
        <f t="shared" si="4"/>
        <v>1.7305926396835591E-2</v>
      </c>
      <c r="W20" s="165">
        <v>45690</v>
      </c>
      <c r="X20" s="162">
        <v>10051.65</v>
      </c>
      <c r="Y20" s="163">
        <f t="shared" si="5"/>
        <v>6.4539701871905386E-2</v>
      </c>
      <c r="AA20" s="165">
        <v>45690</v>
      </c>
      <c r="AB20" s="164">
        <v>358.08</v>
      </c>
      <c r="AC20" s="163">
        <f t="shared" si="6"/>
        <v>-2.5022463038091858E-2</v>
      </c>
    </row>
    <row r="21" spans="3:29">
      <c r="C21" s="164" t="s">
        <v>227</v>
      </c>
      <c r="D21" s="164">
        <v>506.8</v>
      </c>
      <c r="E21" s="163">
        <f t="shared" si="0"/>
        <v>4.161956633439523E-2</v>
      </c>
      <c r="G21" s="161">
        <v>45683</v>
      </c>
      <c r="H21" s="162">
        <v>23508.400000000001</v>
      </c>
      <c r="I21" s="163">
        <f t="shared" si="1"/>
        <v>1.8023401841314346E-2</v>
      </c>
      <c r="K21" s="164" t="s">
        <v>227</v>
      </c>
      <c r="L21" s="164">
        <v>621.70000000000005</v>
      </c>
      <c r="M21" s="163">
        <f t="shared" si="2"/>
        <v>1.7512274959083474E-2</v>
      </c>
      <c r="O21" s="164" t="s">
        <v>227</v>
      </c>
      <c r="P21" s="160">
        <v>293.99</v>
      </c>
      <c r="Q21" s="163">
        <f t="shared" si="3"/>
        <v>-1.1000470968175913E-2</v>
      </c>
      <c r="S21" s="164" t="s">
        <v>227</v>
      </c>
      <c r="T21" s="160">
        <v>707.85</v>
      </c>
      <c r="U21" s="163">
        <f t="shared" si="4"/>
        <v>2.2092267706302904E-2</v>
      </c>
      <c r="W21" s="164" t="s">
        <v>227</v>
      </c>
      <c r="X21" s="162">
        <v>9442.25</v>
      </c>
      <c r="Y21" s="163">
        <f t="shared" si="5"/>
        <v>-4.6251824467306024E-2</v>
      </c>
      <c r="AA21" s="164" t="s">
        <v>227</v>
      </c>
      <c r="AB21" s="164">
        <v>367.27</v>
      </c>
      <c r="AC21" s="163">
        <f t="shared" si="6"/>
        <v>2.2324286708420349E-2</v>
      </c>
    </row>
    <row r="22" spans="3:29">
      <c r="C22" s="164" t="s">
        <v>228</v>
      </c>
      <c r="D22" s="164">
        <v>486.55</v>
      </c>
      <c r="E22" s="163">
        <f t="shared" si="0"/>
        <v>-1.4781816340994292E-2</v>
      </c>
      <c r="G22" s="161">
        <v>45676</v>
      </c>
      <c r="H22" s="162">
        <v>23092.2</v>
      </c>
      <c r="I22" s="163">
        <f t="shared" si="1"/>
        <v>-4.7838229209764549E-3</v>
      </c>
      <c r="K22" s="164" t="s">
        <v>228</v>
      </c>
      <c r="L22" s="164">
        <v>611</v>
      </c>
      <c r="M22" s="163">
        <f t="shared" si="2"/>
        <v>-4.01382452281831E-2</v>
      </c>
      <c r="O22" s="164" t="s">
        <v>228</v>
      </c>
      <c r="P22" s="160">
        <v>297.26</v>
      </c>
      <c r="Q22" s="163">
        <f t="shared" si="3"/>
        <v>-2.1818670068142199E-3</v>
      </c>
      <c r="S22" s="164" t="s">
        <v>228</v>
      </c>
      <c r="T22" s="160">
        <v>692.55</v>
      </c>
      <c r="U22" s="163">
        <f t="shared" si="4"/>
        <v>5.821682328672928E-2</v>
      </c>
      <c r="W22" s="164" t="s">
        <v>228</v>
      </c>
      <c r="X22" s="162">
        <v>9900.15</v>
      </c>
      <c r="Y22" s="163">
        <f t="shared" si="5"/>
        <v>-2.0180026820928232E-2</v>
      </c>
      <c r="AA22" s="164" t="s">
        <v>228</v>
      </c>
      <c r="AB22" s="164">
        <v>359.25</v>
      </c>
      <c r="AC22" s="163">
        <f t="shared" si="6"/>
        <v>-4.2561697137679322E-2</v>
      </c>
    </row>
    <row r="23" spans="3:29">
      <c r="C23" s="165">
        <v>45992</v>
      </c>
      <c r="D23" s="164">
        <v>493.85</v>
      </c>
      <c r="E23" s="163">
        <f t="shared" si="0"/>
        <v>-1.2497500499900061E-2</v>
      </c>
      <c r="G23" s="161">
        <v>45669</v>
      </c>
      <c r="H23" s="162">
        <v>23203.200000000001</v>
      </c>
      <c r="I23" s="163">
        <f t="shared" si="1"/>
        <v>-9.7432942833365344E-3</v>
      </c>
      <c r="K23" s="165">
        <v>45992</v>
      </c>
      <c r="L23" s="164">
        <v>636.54999999999995</v>
      </c>
      <c r="M23" s="163">
        <f t="shared" si="2"/>
        <v>-3.2819266124743618E-2</v>
      </c>
      <c r="O23" s="165">
        <v>45992</v>
      </c>
      <c r="P23" s="160">
        <v>297.91000000000003</v>
      </c>
      <c r="Q23" s="163">
        <f t="shared" si="3"/>
        <v>-4.5343844132538558E-2</v>
      </c>
      <c r="S23" s="165">
        <v>45992</v>
      </c>
      <c r="T23" s="160">
        <v>654.45000000000005</v>
      </c>
      <c r="U23" s="163">
        <f t="shared" si="4"/>
        <v>8.1914366010910955E-2</v>
      </c>
      <c r="W23" s="165">
        <v>45992</v>
      </c>
      <c r="X23" s="162">
        <v>10104.049999999999</v>
      </c>
      <c r="Y23" s="163">
        <f t="shared" si="5"/>
        <v>3.5935633692347979E-2</v>
      </c>
      <c r="AA23" s="165">
        <v>45992</v>
      </c>
      <c r="AB23" s="164">
        <v>375.22</v>
      </c>
      <c r="AC23" s="163">
        <f t="shared" si="6"/>
        <v>-1.2474997368143836E-2</v>
      </c>
    </row>
    <row r="24" spans="3:29">
      <c r="C24" s="165">
        <v>45778</v>
      </c>
      <c r="D24" s="164">
        <v>500.1</v>
      </c>
      <c r="E24" s="163">
        <f t="shared" si="0"/>
        <v>-3.7436242902511685E-2</v>
      </c>
      <c r="G24" s="161">
        <v>45662</v>
      </c>
      <c r="H24" s="162">
        <v>23431.5</v>
      </c>
      <c r="I24" s="163">
        <f t="shared" si="1"/>
        <v>-2.3880690280048689E-2</v>
      </c>
      <c r="K24" s="165">
        <v>45778</v>
      </c>
      <c r="L24" s="164">
        <v>658.15</v>
      </c>
      <c r="M24" s="163">
        <f t="shared" si="2"/>
        <v>-9.4205890448665119E-2</v>
      </c>
      <c r="O24" s="165">
        <v>45778</v>
      </c>
      <c r="P24" s="160">
        <v>312.06</v>
      </c>
      <c r="Q24" s="163">
        <f t="shared" si="3"/>
        <v>-3.1170443961502703E-2</v>
      </c>
      <c r="S24" s="165">
        <v>45778</v>
      </c>
      <c r="T24" s="160">
        <v>604.9</v>
      </c>
      <c r="U24" s="163">
        <f t="shared" si="4"/>
        <v>-0.1078828994911879</v>
      </c>
      <c r="W24" s="165">
        <v>45778</v>
      </c>
      <c r="X24" s="162">
        <v>9753.5499999999993</v>
      </c>
      <c r="Y24" s="163">
        <f t="shared" si="5"/>
        <v>-3.8983368147243236E-2</v>
      </c>
      <c r="AA24" s="165">
        <v>45778</v>
      </c>
      <c r="AB24" s="164">
        <v>379.96</v>
      </c>
      <c r="AC24" s="163">
        <f t="shared" si="6"/>
        <v>-4.1303963868493443E-2</v>
      </c>
    </row>
    <row r="25" spans="3:29">
      <c r="C25" s="164" t="s">
        <v>229</v>
      </c>
      <c r="D25" s="164">
        <v>519.54999999999995</v>
      </c>
      <c r="E25" s="163">
        <f t="shared" si="0"/>
        <v>8.73701582370634E-3</v>
      </c>
      <c r="G25" s="161">
        <v>45655</v>
      </c>
      <c r="H25" s="162">
        <v>24004.75</v>
      </c>
      <c r="I25" s="163">
        <f t="shared" si="1"/>
        <v>8.035391838208783E-3</v>
      </c>
      <c r="K25" s="164" t="s">
        <v>229</v>
      </c>
      <c r="L25" s="164">
        <v>726.6</v>
      </c>
      <c r="M25" s="163">
        <f t="shared" si="2"/>
        <v>-8.8664575092074482E-3</v>
      </c>
      <c r="O25" s="164" t="s">
        <v>229</v>
      </c>
      <c r="P25" s="160">
        <v>322.10000000000002</v>
      </c>
      <c r="Q25" s="163">
        <f t="shared" si="3"/>
        <v>-1.7897978473640941E-2</v>
      </c>
      <c r="S25" s="164" t="s">
        <v>229</v>
      </c>
      <c r="T25" s="160">
        <v>678.05</v>
      </c>
      <c r="U25" s="163">
        <f t="shared" si="4"/>
        <v>0.10019471036832717</v>
      </c>
      <c r="W25" s="164" t="s">
        <v>229</v>
      </c>
      <c r="X25" s="162">
        <v>10149.200000000001</v>
      </c>
      <c r="Y25" s="163">
        <f t="shared" si="5"/>
        <v>1.4382377340010022E-2</v>
      </c>
      <c r="AA25" s="164" t="s">
        <v>229</v>
      </c>
      <c r="AB25" s="164">
        <v>396.33</v>
      </c>
      <c r="AC25" s="163">
        <f t="shared" si="6"/>
        <v>4.3770245713834255E-2</v>
      </c>
    </row>
    <row r="26" spans="3:29">
      <c r="C26" s="164" t="s">
        <v>230</v>
      </c>
      <c r="D26" s="164">
        <v>515.04999999999995</v>
      </c>
      <c r="E26" s="163">
        <f t="shared" si="0"/>
        <v>-5.3825663635528764E-2</v>
      </c>
      <c r="G26" s="161">
        <v>45648</v>
      </c>
      <c r="H26" s="162">
        <v>23813.4</v>
      </c>
      <c r="I26" s="163">
        <f t="shared" si="1"/>
        <v>9.5771065182830295E-3</v>
      </c>
      <c r="K26" s="164" t="s">
        <v>230</v>
      </c>
      <c r="L26" s="164">
        <v>733.1</v>
      </c>
      <c r="M26" s="163">
        <f t="shared" si="2"/>
        <v>-1.6567174190086575E-2</v>
      </c>
      <c r="O26" s="164" t="s">
        <v>230</v>
      </c>
      <c r="P26" s="160">
        <v>327.97</v>
      </c>
      <c r="Q26" s="163">
        <f t="shared" si="3"/>
        <v>6.7124332570567269E-4</v>
      </c>
      <c r="S26" s="164" t="s">
        <v>230</v>
      </c>
      <c r="T26" s="160">
        <v>616.29999999999995</v>
      </c>
      <c r="U26" s="163">
        <f t="shared" si="4"/>
        <v>-9.7212179641681384E-3</v>
      </c>
      <c r="W26" s="164" t="s">
        <v>230</v>
      </c>
      <c r="X26" s="162">
        <v>10005.299999999999</v>
      </c>
      <c r="Y26" s="163">
        <f t="shared" si="5"/>
        <v>-6.6716306775875811E-3</v>
      </c>
      <c r="AA26" s="164" t="s">
        <v>230</v>
      </c>
      <c r="AB26" s="164">
        <v>379.71</v>
      </c>
      <c r="AC26" s="163">
        <f t="shared" si="6"/>
        <v>-6.6968373139404402E-3</v>
      </c>
    </row>
    <row r="27" spans="3:29">
      <c r="C27" s="164" t="s">
        <v>231</v>
      </c>
      <c r="D27" s="164">
        <v>544.35</v>
      </c>
      <c r="E27" s="163">
        <f t="shared" si="0"/>
        <v>-1.4929424538545066E-2</v>
      </c>
      <c r="G27" s="161">
        <v>45641</v>
      </c>
      <c r="H27" s="162">
        <v>23587.5</v>
      </c>
      <c r="I27" s="163">
        <f t="shared" si="1"/>
        <v>-4.7673841159869612E-2</v>
      </c>
      <c r="K27" s="164" t="s">
        <v>231</v>
      </c>
      <c r="L27" s="164">
        <v>745.45</v>
      </c>
      <c r="M27" s="163">
        <f t="shared" si="2"/>
        <v>-3.2197338526452346E-2</v>
      </c>
      <c r="O27" s="164" t="s">
        <v>231</v>
      </c>
      <c r="P27" s="160">
        <v>327.75</v>
      </c>
      <c r="Q27" s="163">
        <f t="shared" si="3"/>
        <v>-8.2189862783534129E-2</v>
      </c>
      <c r="S27" s="164" t="s">
        <v>231</v>
      </c>
      <c r="T27" s="160">
        <v>622.35</v>
      </c>
      <c r="U27" s="163">
        <f t="shared" si="4"/>
        <v>4.1952400161355818E-3</v>
      </c>
      <c r="W27" s="164" t="s">
        <v>231</v>
      </c>
      <c r="X27" s="162">
        <v>10072.5</v>
      </c>
      <c r="Y27" s="163">
        <f t="shared" si="5"/>
        <v>-6.1661574005067776E-2</v>
      </c>
      <c r="AA27" s="164" t="s">
        <v>231</v>
      </c>
      <c r="AB27" s="164">
        <v>382.27</v>
      </c>
      <c r="AC27" s="163">
        <f t="shared" si="6"/>
        <v>-5.0001242575610783E-2</v>
      </c>
    </row>
    <row r="28" spans="3:29">
      <c r="C28" s="165">
        <v>45516</v>
      </c>
      <c r="D28" s="164">
        <v>552.6</v>
      </c>
      <c r="E28" s="163">
        <f t="shared" si="0"/>
        <v>-4.3116883116883109E-2</v>
      </c>
      <c r="G28" s="161">
        <v>45634</v>
      </c>
      <c r="H28" s="162">
        <v>24768.3</v>
      </c>
      <c r="I28" s="163">
        <f t="shared" si="1"/>
        <v>3.6672636944945491E-3</v>
      </c>
      <c r="K28" s="165">
        <v>45516</v>
      </c>
      <c r="L28" s="164">
        <v>770.25</v>
      </c>
      <c r="M28" s="163">
        <f t="shared" si="2"/>
        <v>-2.4073487488121659E-2</v>
      </c>
      <c r="O28" s="165">
        <v>45516</v>
      </c>
      <c r="P28" s="160">
        <v>357.1</v>
      </c>
      <c r="Q28" s="163">
        <f t="shared" si="3"/>
        <v>-4.2010945380405507E-2</v>
      </c>
      <c r="S28" s="165">
        <v>45516</v>
      </c>
      <c r="T28" s="160">
        <v>619.75</v>
      </c>
      <c r="U28" s="163">
        <f t="shared" si="4"/>
        <v>2.092084671773331E-2</v>
      </c>
      <c r="W28" s="165">
        <v>45516</v>
      </c>
      <c r="X28" s="162">
        <v>10734.4</v>
      </c>
      <c r="Y28" s="163">
        <f t="shared" si="5"/>
        <v>-1.5208241285492585E-3</v>
      </c>
      <c r="AA28" s="165">
        <v>45516</v>
      </c>
      <c r="AB28" s="164">
        <v>402.39</v>
      </c>
      <c r="AC28" s="163">
        <f t="shared" si="6"/>
        <v>-1.755456809414524E-2</v>
      </c>
    </row>
    <row r="29" spans="3:29">
      <c r="C29" s="165">
        <v>45303</v>
      </c>
      <c r="D29" s="164">
        <v>577.5</v>
      </c>
      <c r="E29" s="163">
        <f t="shared" si="0"/>
        <v>4.1666666666666741E-2</v>
      </c>
      <c r="G29" s="161">
        <v>45627</v>
      </c>
      <c r="H29" s="162">
        <v>24677.8</v>
      </c>
      <c r="I29" s="163">
        <f t="shared" si="1"/>
        <v>2.2655411481449228E-2</v>
      </c>
      <c r="K29" s="165">
        <v>45303</v>
      </c>
      <c r="L29" s="164">
        <v>789.25</v>
      </c>
      <c r="M29" s="163">
        <f t="shared" si="2"/>
        <v>-2.7797081306463189E-3</v>
      </c>
      <c r="O29" s="165">
        <v>45303</v>
      </c>
      <c r="P29" s="160">
        <v>372.76</v>
      </c>
      <c r="Q29" s="163">
        <f t="shared" si="3"/>
        <v>2.7283249738190962E-2</v>
      </c>
      <c r="S29" s="165">
        <v>45303</v>
      </c>
      <c r="T29" s="160">
        <v>607.04999999999995</v>
      </c>
      <c r="U29" s="163">
        <f t="shared" si="4"/>
        <v>3.5479744136460489E-2</v>
      </c>
      <c r="W29" s="165">
        <v>45303</v>
      </c>
      <c r="X29" s="162">
        <v>10750.75</v>
      </c>
      <c r="Y29" s="163">
        <f t="shared" si="5"/>
        <v>-3.4205781611379438E-3</v>
      </c>
      <c r="AA29" s="165">
        <v>45303</v>
      </c>
      <c r="AB29" s="164">
        <v>409.58</v>
      </c>
      <c r="AC29" s="163">
        <f t="shared" si="6"/>
        <v>1.1333613175633861E-2</v>
      </c>
    </row>
    <row r="30" spans="3:29">
      <c r="C30" s="164" t="s">
        <v>232</v>
      </c>
      <c r="D30" s="164">
        <v>554.4</v>
      </c>
      <c r="E30" s="163">
        <f t="shared" si="0"/>
        <v>1.4270032930845167E-2</v>
      </c>
      <c r="G30" s="161">
        <v>45620</v>
      </c>
      <c r="H30" s="162">
        <v>24131.1</v>
      </c>
      <c r="I30" s="163">
        <f t="shared" si="1"/>
        <v>9.3632684645870157E-3</v>
      </c>
      <c r="K30" s="164" t="s">
        <v>232</v>
      </c>
      <c r="L30" s="164">
        <v>791.45</v>
      </c>
      <c r="M30" s="163">
        <f t="shared" si="2"/>
        <v>6.8732698669907721E-2</v>
      </c>
      <c r="O30" s="164" t="s">
        <v>232</v>
      </c>
      <c r="P30" s="160">
        <v>362.86</v>
      </c>
      <c r="Q30" s="163">
        <f t="shared" si="3"/>
        <v>6.657652626319055E-2</v>
      </c>
      <c r="S30" s="164" t="s">
        <v>232</v>
      </c>
      <c r="T30" s="160">
        <v>586.25</v>
      </c>
      <c r="U30" s="163">
        <f t="shared" si="4"/>
        <v>-1.5698455339153816E-2</v>
      </c>
      <c r="W30" s="164" t="s">
        <v>232</v>
      </c>
      <c r="X30" s="162">
        <v>10787.65</v>
      </c>
      <c r="Y30" s="163">
        <f t="shared" si="5"/>
        <v>4.8202758967577086E-3</v>
      </c>
      <c r="AA30" s="164" t="s">
        <v>232</v>
      </c>
      <c r="AB30" s="164">
        <v>404.99</v>
      </c>
      <c r="AC30" s="163">
        <f t="shared" si="6"/>
        <v>5.6670232473191362E-2</v>
      </c>
    </row>
    <row r="31" spans="3:29">
      <c r="C31" s="164" t="s">
        <v>233</v>
      </c>
      <c r="D31" s="164">
        <v>546.6</v>
      </c>
      <c r="E31" s="163">
        <f t="shared" si="0"/>
        <v>7.8362680925601058E-3</v>
      </c>
      <c r="G31" s="161">
        <v>45613</v>
      </c>
      <c r="H31" s="162">
        <v>23907.25</v>
      </c>
      <c r="I31" s="163">
        <f t="shared" si="1"/>
        <v>1.5916150717937061E-2</v>
      </c>
      <c r="K31" s="164" t="s">
        <v>233</v>
      </c>
      <c r="L31" s="164">
        <v>740.55</v>
      </c>
      <c r="M31" s="163">
        <f t="shared" si="2"/>
        <v>6.5539568345323707E-2</v>
      </c>
      <c r="O31" s="164" t="s">
        <v>233</v>
      </c>
      <c r="P31" s="160">
        <v>340.21</v>
      </c>
      <c r="Q31" s="163">
        <f t="shared" si="3"/>
        <v>4.2118483121975192E-2</v>
      </c>
      <c r="S31" s="164" t="s">
        <v>233</v>
      </c>
      <c r="T31" s="160">
        <v>595.6</v>
      </c>
      <c r="U31" s="163">
        <f t="shared" si="4"/>
        <v>2.4511911929130381E-2</v>
      </c>
      <c r="W31" s="164" t="s">
        <v>233</v>
      </c>
      <c r="X31" s="162">
        <v>10735.9</v>
      </c>
      <c r="Y31" s="163">
        <f t="shared" si="5"/>
        <v>-0.11859216446093723</v>
      </c>
      <c r="AA31" s="164" t="s">
        <v>233</v>
      </c>
      <c r="AB31" s="164">
        <v>383.27</v>
      </c>
      <c r="AC31" s="163">
        <f t="shared" si="6"/>
        <v>-2.2569621544425211E-2</v>
      </c>
    </row>
    <row r="32" spans="3:29">
      <c r="C32" s="165">
        <v>45576</v>
      </c>
      <c r="D32" s="164">
        <v>542.35</v>
      </c>
      <c r="E32" s="163">
        <f t="shared" si="0"/>
        <v>-7.2826737327976732E-2</v>
      </c>
      <c r="G32" s="161">
        <v>45606</v>
      </c>
      <c r="H32" s="162">
        <v>23532.7</v>
      </c>
      <c r="I32" s="163">
        <f t="shared" si="1"/>
        <v>-2.5488442202731498E-2</v>
      </c>
      <c r="K32" s="165">
        <v>45576</v>
      </c>
      <c r="L32" s="164">
        <v>695</v>
      </c>
      <c r="M32" s="163">
        <f t="shared" si="2"/>
        <v>4.7708544166544797E-3</v>
      </c>
      <c r="O32" s="165">
        <v>45576</v>
      </c>
      <c r="P32" s="160">
        <v>326.45999999999998</v>
      </c>
      <c r="Q32" s="163">
        <f t="shared" si="3"/>
        <v>-9.8475643433116211E-2</v>
      </c>
      <c r="S32" s="165">
        <v>45576</v>
      </c>
      <c r="T32" s="160">
        <v>581.35</v>
      </c>
      <c r="U32" s="163">
        <f t="shared" si="4"/>
        <v>5.187170398547547E-3</v>
      </c>
      <c r="W32" s="165">
        <v>45576</v>
      </c>
      <c r="X32" s="162">
        <v>12180.4</v>
      </c>
      <c r="Y32" s="163">
        <f t="shared" si="5"/>
        <v>-1.2345278589759756E-2</v>
      </c>
      <c r="AA32" s="165">
        <v>45576</v>
      </c>
      <c r="AB32" s="164">
        <v>392.12</v>
      </c>
      <c r="AC32" s="163">
        <f t="shared" si="6"/>
        <v>2.7362229893874712E-3</v>
      </c>
    </row>
    <row r="33" spans="3:29">
      <c r="C33" s="165">
        <v>45362</v>
      </c>
      <c r="D33" s="164">
        <v>584.95000000000005</v>
      </c>
      <c r="E33" s="163">
        <f t="shared" si="0"/>
        <v>-3.9490968801313531E-2</v>
      </c>
      <c r="G33" s="161">
        <v>45599</v>
      </c>
      <c r="H33" s="162">
        <v>24148.2</v>
      </c>
      <c r="I33" s="163">
        <f t="shared" si="1"/>
        <v>-6.4247758117372822E-3</v>
      </c>
      <c r="K33" s="165">
        <v>45362</v>
      </c>
      <c r="L33" s="164">
        <v>691.7</v>
      </c>
      <c r="M33" s="163">
        <f t="shared" si="2"/>
        <v>1.6533176574325736E-2</v>
      </c>
      <c r="O33" s="165">
        <v>45362</v>
      </c>
      <c r="P33" s="160">
        <v>362.12</v>
      </c>
      <c r="Q33" s="163">
        <f t="shared" si="3"/>
        <v>-3.0779936834216537E-2</v>
      </c>
      <c r="S33" s="165">
        <v>45362</v>
      </c>
      <c r="T33" s="160">
        <v>578.35</v>
      </c>
      <c r="U33" s="163">
        <f t="shared" si="4"/>
        <v>-2.2148955955702099E-2</v>
      </c>
      <c r="W33" s="165">
        <v>45362</v>
      </c>
      <c r="X33" s="162">
        <v>12332.65</v>
      </c>
      <c r="Y33" s="163">
        <f t="shared" si="5"/>
        <v>2.0804880269507553E-2</v>
      </c>
      <c r="AA33" s="165">
        <v>45362</v>
      </c>
      <c r="AB33" s="164">
        <v>391.05</v>
      </c>
      <c r="AC33" s="163">
        <f t="shared" si="6"/>
        <v>3.155302447283459E-3</v>
      </c>
    </row>
    <row r="34" spans="3:29">
      <c r="C34" s="164" t="s">
        <v>234</v>
      </c>
      <c r="D34" s="164">
        <v>609</v>
      </c>
      <c r="E34" s="163">
        <f t="shared" si="0"/>
        <v>6.9077503730360812E-2</v>
      </c>
      <c r="G34" s="161">
        <v>45592</v>
      </c>
      <c r="H34" s="162">
        <v>24304.35</v>
      </c>
      <c r="I34" s="163">
        <f t="shared" si="1"/>
        <v>5.1094256600276999E-3</v>
      </c>
      <c r="K34" s="164" t="s">
        <v>234</v>
      </c>
      <c r="L34" s="164">
        <v>680.45</v>
      </c>
      <c r="M34" s="163">
        <f t="shared" si="2"/>
        <v>7.9394035532994955E-2</v>
      </c>
      <c r="O34" s="164" t="s">
        <v>234</v>
      </c>
      <c r="P34" s="160">
        <v>373.62</v>
      </c>
      <c r="Q34" s="163">
        <f t="shared" si="3"/>
        <v>0.10079255178103175</v>
      </c>
      <c r="S34" s="164" t="s">
        <v>234</v>
      </c>
      <c r="T34" s="160">
        <v>591.45000000000005</v>
      </c>
      <c r="U34" s="163">
        <f t="shared" si="4"/>
        <v>7.4386920980926474E-2</v>
      </c>
      <c r="W34" s="164" t="s">
        <v>234</v>
      </c>
      <c r="X34" s="162">
        <v>12081.3</v>
      </c>
      <c r="Y34" s="163">
        <f t="shared" si="5"/>
        <v>-1.2053611585859603E-2</v>
      </c>
      <c r="AA34" s="164" t="s">
        <v>234</v>
      </c>
      <c r="AB34" s="164">
        <v>389.82</v>
      </c>
      <c r="AC34" s="163">
        <f t="shared" si="6"/>
        <v>8.334491287552459E-2</v>
      </c>
    </row>
    <row r="35" spans="3:29">
      <c r="C35" s="164" t="s">
        <v>235</v>
      </c>
      <c r="D35" s="164">
        <v>569.65</v>
      </c>
      <c r="E35" s="163">
        <f t="shared" si="0"/>
        <v>-9.1104906262465146E-2</v>
      </c>
      <c r="G35" s="161">
        <v>45585</v>
      </c>
      <c r="H35" s="162">
        <v>24180.799999999999</v>
      </c>
      <c r="I35" s="163">
        <f t="shared" si="1"/>
        <v>-2.7088140564616281E-2</v>
      </c>
      <c r="K35" s="164" t="s">
        <v>235</v>
      </c>
      <c r="L35" s="164">
        <v>630.4</v>
      </c>
      <c r="M35" s="163">
        <f t="shared" si="2"/>
        <v>-2.4978733276622034E-2</v>
      </c>
      <c r="O35" s="164" t="s">
        <v>235</v>
      </c>
      <c r="P35" s="160">
        <v>339.41</v>
      </c>
      <c r="Q35" s="163">
        <f t="shared" si="3"/>
        <v>-8.0862241720150441E-2</v>
      </c>
      <c r="S35" s="164" t="s">
        <v>235</v>
      </c>
      <c r="T35" s="160">
        <v>550.5</v>
      </c>
      <c r="U35" s="163">
        <f t="shared" si="4"/>
        <v>-0.11188190691296285</v>
      </c>
      <c r="W35" s="164" t="s">
        <v>235</v>
      </c>
      <c r="X35" s="162">
        <v>12228.7</v>
      </c>
      <c r="Y35" s="163">
        <f t="shared" si="5"/>
        <v>-6.935312024353113E-2</v>
      </c>
      <c r="AA35" s="164" t="s">
        <v>235</v>
      </c>
      <c r="AB35" s="164">
        <v>359.83</v>
      </c>
      <c r="AC35" s="163">
        <f t="shared" si="6"/>
        <v>-8.2768289574305487E-2</v>
      </c>
    </row>
    <row r="36" spans="3:29">
      <c r="C36" s="164" t="s">
        <v>236</v>
      </c>
      <c r="D36" s="164">
        <v>626.75</v>
      </c>
      <c r="E36" s="163">
        <f t="shared" si="0"/>
        <v>-3.0223494790423411E-3</v>
      </c>
      <c r="G36" s="161">
        <v>45578</v>
      </c>
      <c r="H36" s="162">
        <v>24854.05</v>
      </c>
      <c r="I36" s="163">
        <f t="shared" si="1"/>
        <v>-4.4143124668275524E-3</v>
      </c>
      <c r="K36" s="164" t="s">
        <v>236</v>
      </c>
      <c r="L36" s="164">
        <v>646.54999999999995</v>
      </c>
      <c r="M36" s="163">
        <f t="shared" si="2"/>
        <v>-3.8015176313048737E-2</v>
      </c>
      <c r="O36" s="164" t="s">
        <v>236</v>
      </c>
      <c r="P36" s="160">
        <v>369.27</v>
      </c>
      <c r="Q36" s="163">
        <f t="shared" si="3"/>
        <v>-9.7394691989294291E-4</v>
      </c>
      <c r="S36" s="164" t="s">
        <v>236</v>
      </c>
      <c r="T36" s="160">
        <v>619.85</v>
      </c>
      <c r="U36" s="163">
        <f t="shared" si="4"/>
        <v>1.5481651376146877E-2</v>
      </c>
      <c r="W36" s="164" t="s">
        <v>236</v>
      </c>
      <c r="X36" s="162">
        <v>13140</v>
      </c>
      <c r="Y36" s="163">
        <f t="shared" si="5"/>
        <v>1.2689445756761897E-2</v>
      </c>
      <c r="AA36" s="164" t="s">
        <v>236</v>
      </c>
      <c r="AB36" s="164">
        <v>392.3</v>
      </c>
      <c r="AC36" s="163">
        <f t="shared" si="6"/>
        <v>2.6837060702875615E-3</v>
      </c>
    </row>
    <row r="37" spans="3:29">
      <c r="C37" s="165">
        <v>45453</v>
      </c>
      <c r="D37" s="164">
        <v>628.65</v>
      </c>
      <c r="E37" s="163">
        <f t="shared" si="0"/>
        <v>-9.0636822194198885E-3</v>
      </c>
      <c r="G37" s="161">
        <v>45571</v>
      </c>
      <c r="H37" s="162">
        <v>24964.25</v>
      </c>
      <c r="I37" s="163">
        <f t="shared" si="1"/>
        <v>-2.0128245104857889E-3</v>
      </c>
      <c r="K37" s="165">
        <v>45453</v>
      </c>
      <c r="L37" s="164">
        <v>672.1</v>
      </c>
      <c r="M37" s="163">
        <f t="shared" si="2"/>
        <v>8.4021005251313508E-3</v>
      </c>
      <c r="O37" s="165">
        <v>45453</v>
      </c>
      <c r="P37" s="160">
        <v>369.63</v>
      </c>
      <c r="Q37" s="163">
        <f t="shared" si="3"/>
        <v>4.702364773036205E-3</v>
      </c>
      <c r="S37" s="165">
        <v>45453</v>
      </c>
      <c r="T37" s="160">
        <v>610.4</v>
      </c>
      <c r="U37" s="163">
        <f t="shared" si="4"/>
        <v>5.1873198847260937E-3</v>
      </c>
      <c r="W37" s="165">
        <v>45453</v>
      </c>
      <c r="X37" s="162">
        <v>12975.35</v>
      </c>
      <c r="Y37" s="163">
        <f t="shared" si="5"/>
        <v>3.6311867547341503E-2</v>
      </c>
      <c r="AA37" s="165">
        <v>45453</v>
      </c>
      <c r="AB37" s="164">
        <v>391.25</v>
      </c>
      <c r="AC37" s="163">
        <f t="shared" si="6"/>
        <v>3.7971111168124683E-3</v>
      </c>
    </row>
    <row r="38" spans="3:29">
      <c r="C38" s="164" t="s">
        <v>237</v>
      </c>
      <c r="D38" s="164">
        <v>634.4</v>
      </c>
      <c r="E38" s="163">
        <f t="shared" si="0"/>
        <v>-6.0704767545158411E-2</v>
      </c>
      <c r="G38" s="161">
        <v>45564</v>
      </c>
      <c r="H38" s="162">
        <v>25014.6</v>
      </c>
      <c r="I38" s="163">
        <f t="shared" si="1"/>
        <v>-4.4476573735768743E-2</v>
      </c>
      <c r="K38" s="164" t="s">
        <v>237</v>
      </c>
      <c r="L38" s="164">
        <v>666.5</v>
      </c>
      <c r="M38" s="163">
        <f t="shared" si="2"/>
        <v>-4.5949040939020969E-2</v>
      </c>
      <c r="O38" s="164" t="s">
        <v>237</v>
      </c>
      <c r="P38" s="160">
        <v>367.9</v>
      </c>
      <c r="Q38" s="163">
        <f t="shared" si="3"/>
        <v>-5.85736584866553E-2</v>
      </c>
      <c r="S38" s="164" t="s">
        <v>237</v>
      </c>
      <c r="T38" s="160">
        <v>607.25</v>
      </c>
      <c r="U38" s="163">
        <f t="shared" si="4"/>
        <v>-1.8109790605546183E-2</v>
      </c>
      <c r="W38" s="164" t="s">
        <v>237</v>
      </c>
      <c r="X38" s="162">
        <v>12520.7</v>
      </c>
      <c r="Y38" s="163">
        <f t="shared" si="5"/>
        <v>-1.9518478929048233E-2</v>
      </c>
      <c r="AA38" s="164" t="s">
        <v>237</v>
      </c>
      <c r="AB38" s="164">
        <v>389.77</v>
      </c>
      <c r="AC38" s="163">
        <f t="shared" si="6"/>
        <v>-3.186785891703936E-2</v>
      </c>
    </row>
    <row r="39" spans="3:29">
      <c r="C39" s="164" t="s">
        <v>238</v>
      </c>
      <c r="D39" s="164">
        <v>675.4</v>
      </c>
      <c r="E39" s="163">
        <f t="shared" si="0"/>
        <v>3.6684574059861808E-2</v>
      </c>
      <c r="G39" s="161">
        <v>45557</v>
      </c>
      <c r="H39" s="162">
        <v>26178.95</v>
      </c>
      <c r="I39" s="163">
        <f t="shared" si="1"/>
        <v>1.5044036764834123E-2</v>
      </c>
      <c r="K39" s="164" t="s">
        <v>238</v>
      </c>
      <c r="L39" s="164">
        <v>698.6</v>
      </c>
      <c r="M39" s="163">
        <f t="shared" si="2"/>
        <v>-7.7694897352960646E-2</v>
      </c>
      <c r="O39" s="164" t="s">
        <v>238</v>
      </c>
      <c r="P39" s="160">
        <v>390.79</v>
      </c>
      <c r="Q39" s="163">
        <f t="shared" si="3"/>
        <v>-7.6452238029966368E-2</v>
      </c>
      <c r="S39" s="164" t="s">
        <v>238</v>
      </c>
      <c r="T39" s="160">
        <v>618.45000000000005</v>
      </c>
      <c r="U39" s="163">
        <f t="shared" si="4"/>
        <v>-8.0029750836742242E-2</v>
      </c>
      <c r="W39" s="164" t="s">
        <v>238</v>
      </c>
      <c r="X39" s="162">
        <v>12769.95</v>
      </c>
      <c r="Y39" s="163">
        <f t="shared" si="5"/>
        <v>-4.0625211296175245E-2</v>
      </c>
      <c r="AA39" s="164" t="s">
        <v>238</v>
      </c>
      <c r="AB39" s="164">
        <v>402.6</v>
      </c>
      <c r="AC39" s="163">
        <f t="shared" si="6"/>
        <v>-3.2513877874702501E-2</v>
      </c>
    </row>
    <row r="40" spans="3:29">
      <c r="C40" s="164" t="s">
        <v>239</v>
      </c>
      <c r="D40" s="164">
        <v>651.5</v>
      </c>
      <c r="E40" s="163">
        <f t="shared" si="0"/>
        <v>0.14720901567177314</v>
      </c>
      <c r="G40" s="161">
        <v>45550</v>
      </c>
      <c r="H40" s="162">
        <v>25790.95</v>
      </c>
      <c r="I40" s="163">
        <f t="shared" si="1"/>
        <v>1.7133673811448702E-2</v>
      </c>
      <c r="K40" s="164" t="s">
        <v>239</v>
      </c>
      <c r="L40" s="164">
        <v>757.45</v>
      </c>
      <c r="M40" s="163">
        <f t="shared" si="2"/>
        <v>3.8242752381605127E-2</v>
      </c>
      <c r="O40" s="164" t="s">
        <v>239</v>
      </c>
      <c r="P40" s="160">
        <v>423.14</v>
      </c>
      <c r="Q40" s="163">
        <f t="shared" si="3"/>
        <v>0.13652601326851266</v>
      </c>
      <c r="S40" s="164" t="s">
        <v>239</v>
      </c>
      <c r="T40" s="160">
        <v>672.25</v>
      </c>
      <c r="U40" s="163">
        <f t="shared" si="4"/>
        <v>-4.0002963182458329E-3</v>
      </c>
      <c r="W40" s="164" t="s">
        <v>239</v>
      </c>
      <c r="X40" s="162">
        <v>13310.7</v>
      </c>
      <c r="Y40" s="163">
        <f t="shared" si="5"/>
        <v>3.8329725829733263E-4</v>
      </c>
      <c r="AA40" s="164" t="s">
        <v>239</v>
      </c>
      <c r="AB40" s="164">
        <v>416.13</v>
      </c>
      <c r="AC40" s="163">
        <f t="shared" si="6"/>
        <v>-5.7911299268750938E-2</v>
      </c>
    </row>
    <row r="41" spans="3:29">
      <c r="C41" s="165">
        <v>45513</v>
      </c>
      <c r="D41" s="164">
        <v>567.9</v>
      </c>
      <c r="E41" s="163">
        <f t="shared" si="0"/>
        <v>-1.3463041778858709E-2</v>
      </c>
      <c r="G41" s="161">
        <v>45543</v>
      </c>
      <c r="H41" s="162">
        <v>25356.5</v>
      </c>
      <c r="I41" s="163">
        <f t="shared" si="1"/>
        <v>2.0294018827344829E-2</v>
      </c>
      <c r="K41" s="165">
        <v>45513</v>
      </c>
      <c r="L41" s="164">
        <v>729.55</v>
      </c>
      <c r="M41" s="163">
        <f t="shared" si="2"/>
        <v>-3.9560294892048486E-2</v>
      </c>
      <c r="O41" s="165">
        <v>45513</v>
      </c>
      <c r="P41" s="160">
        <v>372.31</v>
      </c>
      <c r="Q41" s="163">
        <f t="shared" si="3"/>
        <v>3.0701511544211302E-2</v>
      </c>
      <c r="S41" s="165">
        <v>45513</v>
      </c>
      <c r="T41" s="160">
        <v>674.95</v>
      </c>
      <c r="U41" s="163">
        <f t="shared" si="4"/>
        <v>1.3971306242019255E-2</v>
      </c>
      <c r="W41" s="165">
        <v>45513</v>
      </c>
      <c r="X41" s="162">
        <v>13305.6</v>
      </c>
      <c r="Y41" s="163">
        <f t="shared" si="5"/>
        <v>-3.8664812239221136E-2</v>
      </c>
      <c r="AA41" s="165">
        <v>45513</v>
      </c>
      <c r="AB41" s="164">
        <v>441.71</v>
      </c>
      <c r="AC41" s="163">
        <f t="shared" si="6"/>
        <v>-2.0077202946135464E-2</v>
      </c>
    </row>
    <row r="42" spans="3:29">
      <c r="C42" s="165">
        <v>45300</v>
      </c>
      <c r="D42" s="164">
        <v>575.65</v>
      </c>
      <c r="E42" s="163">
        <f t="shared" si="0"/>
        <v>-7.7566146686202098E-3</v>
      </c>
      <c r="G42" s="161">
        <v>45536</v>
      </c>
      <c r="H42" s="162">
        <v>24852.15</v>
      </c>
      <c r="I42" s="163">
        <f t="shared" si="1"/>
        <v>-1.5206511358818231E-2</v>
      </c>
      <c r="K42" s="165">
        <v>45300</v>
      </c>
      <c r="L42" s="164">
        <v>759.6</v>
      </c>
      <c r="M42" s="163">
        <f t="shared" si="2"/>
        <v>5.4560599750104188E-2</v>
      </c>
      <c r="O42" s="165">
        <v>45300</v>
      </c>
      <c r="P42" s="160">
        <v>361.22</v>
      </c>
      <c r="Q42" s="163">
        <f t="shared" si="3"/>
        <v>0.12284737332918882</v>
      </c>
      <c r="S42" s="165">
        <v>45300</v>
      </c>
      <c r="T42" s="160">
        <v>665.65</v>
      </c>
      <c r="U42" s="163">
        <f t="shared" si="4"/>
        <v>-1.8649565089193576E-2</v>
      </c>
      <c r="W42" s="165">
        <v>45300</v>
      </c>
      <c r="X42" s="162">
        <v>13840.75</v>
      </c>
      <c r="Y42" s="163">
        <f t="shared" si="5"/>
        <v>-1.0413687582222719E-2</v>
      </c>
      <c r="AA42" s="165">
        <v>45300</v>
      </c>
      <c r="AB42" s="164">
        <v>450.76</v>
      </c>
      <c r="AC42" s="163">
        <f t="shared" si="6"/>
        <v>-1.8059034963511689E-2</v>
      </c>
    </row>
    <row r="43" spans="3:29">
      <c r="C43" s="164" t="s">
        <v>240</v>
      </c>
      <c r="D43" s="164">
        <v>580.15</v>
      </c>
      <c r="E43" s="163">
        <f t="shared" si="0"/>
        <v>1.3362445414847102E-2</v>
      </c>
      <c r="G43" s="161">
        <v>45529</v>
      </c>
      <c r="H43" s="162">
        <v>25235.9</v>
      </c>
      <c r="I43" s="163">
        <f t="shared" si="1"/>
        <v>1.6627623810837822E-2</v>
      </c>
      <c r="K43" s="164" t="s">
        <v>240</v>
      </c>
      <c r="L43" s="164">
        <v>720.3</v>
      </c>
      <c r="M43" s="163">
        <f t="shared" si="2"/>
        <v>1.17283517100919E-2</v>
      </c>
      <c r="O43" s="164" t="s">
        <v>240</v>
      </c>
      <c r="P43" s="160">
        <v>321.7</v>
      </c>
      <c r="Q43" s="163">
        <f t="shared" si="3"/>
        <v>4.3836594308705568E-2</v>
      </c>
      <c r="S43" s="164" t="s">
        <v>240</v>
      </c>
      <c r="T43" s="160">
        <v>678.3</v>
      </c>
      <c r="U43" s="163">
        <f t="shared" si="4"/>
        <v>-2.3888329256008145E-2</v>
      </c>
      <c r="W43" s="164" t="s">
        <v>240</v>
      </c>
      <c r="X43" s="162">
        <v>13986.4</v>
      </c>
      <c r="Y43" s="163">
        <f t="shared" si="5"/>
        <v>-3.7177011589204612E-2</v>
      </c>
      <c r="AA43" s="164" t="s">
        <v>240</v>
      </c>
      <c r="AB43" s="164">
        <v>459.05</v>
      </c>
      <c r="AC43" s="163">
        <f t="shared" si="6"/>
        <v>6.0046897942187538E-3</v>
      </c>
    </row>
    <row r="44" spans="3:29">
      <c r="C44" s="164" t="s">
        <v>241</v>
      </c>
      <c r="D44" s="164">
        <v>572.5</v>
      </c>
      <c r="E44" s="163">
        <f t="shared" si="0"/>
        <v>-4.2612401078355733E-3</v>
      </c>
      <c r="G44" s="161">
        <v>45522</v>
      </c>
      <c r="H44" s="162">
        <v>24823.15</v>
      </c>
      <c r="I44" s="163">
        <f t="shared" si="1"/>
        <v>1.1490904052988471E-2</v>
      </c>
      <c r="K44" s="164" t="s">
        <v>241</v>
      </c>
      <c r="L44" s="164">
        <v>711.95</v>
      </c>
      <c r="M44" s="163">
        <f t="shared" si="2"/>
        <v>4.1395450888612739E-2</v>
      </c>
      <c r="O44" s="164" t="s">
        <v>241</v>
      </c>
      <c r="P44" s="160">
        <v>308.19</v>
      </c>
      <c r="Q44" s="163">
        <f t="shared" si="3"/>
        <v>5.5047755982335467E-2</v>
      </c>
      <c r="S44" s="164" t="s">
        <v>241</v>
      </c>
      <c r="T44" s="160">
        <v>694.9</v>
      </c>
      <c r="U44" s="163">
        <f t="shared" si="4"/>
        <v>-7.1947622131141031E-5</v>
      </c>
      <c r="W44" s="164" t="s">
        <v>241</v>
      </c>
      <c r="X44" s="162">
        <v>14526.45</v>
      </c>
      <c r="Y44" s="163">
        <f t="shared" si="5"/>
        <v>0.35404985948183065</v>
      </c>
      <c r="AA44" s="164" t="s">
        <v>241</v>
      </c>
      <c r="AB44" s="164">
        <v>456.31</v>
      </c>
      <c r="AC44" s="163">
        <f t="shared" si="6"/>
        <v>2.5277490675414516E-2</v>
      </c>
    </row>
    <row r="45" spans="3:29">
      <c r="C45" s="165">
        <v>45604</v>
      </c>
      <c r="D45" s="164">
        <v>574.95000000000005</v>
      </c>
      <c r="E45" s="163">
        <f t="shared" si="0"/>
        <v>2.3406906372374747E-2</v>
      </c>
      <c r="G45" s="161">
        <v>45515</v>
      </c>
      <c r="H45" s="162">
        <v>24541.15</v>
      </c>
      <c r="I45" s="163">
        <f t="shared" si="1"/>
        <v>7.1262952703396998E-3</v>
      </c>
      <c r="K45" s="165">
        <v>45604</v>
      </c>
      <c r="L45" s="164">
        <v>683.65</v>
      </c>
      <c r="M45" s="163">
        <f t="shared" si="2"/>
        <v>3.6068803515950432E-2</v>
      </c>
      <c r="O45" s="165">
        <v>45604</v>
      </c>
      <c r="P45" s="160">
        <v>292.11</v>
      </c>
      <c r="Q45" s="163">
        <f t="shared" si="3"/>
        <v>3.2665181885671801E-2</v>
      </c>
      <c r="S45" s="165">
        <v>45604</v>
      </c>
      <c r="T45" s="160">
        <v>694.95</v>
      </c>
      <c r="U45" s="163">
        <f t="shared" si="4"/>
        <v>-9.8988720342279124E-2</v>
      </c>
      <c r="W45" s="165">
        <v>45604</v>
      </c>
      <c r="X45" s="162">
        <v>10728.15</v>
      </c>
      <c r="Y45" s="163">
        <f t="shared" si="5"/>
        <v>6.4712537588948127E-2</v>
      </c>
      <c r="AA45" s="165">
        <v>45604</v>
      </c>
      <c r="AB45" s="164">
        <v>445.06</v>
      </c>
      <c r="AC45" s="163">
        <f t="shared" si="6"/>
        <v>-3.8975621342661637E-2</v>
      </c>
    </row>
    <row r="46" spans="3:29">
      <c r="C46" s="165">
        <v>45390</v>
      </c>
      <c r="D46" s="164">
        <v>561.79999999999995</v>
      </c>
      <c r="E46" s="163">
        <f t="shared" si="0"/>
        <v>-3.826072070529829E-2</v>
      </c>
      <c r="G46" s="161">
        <v>45508</v>
      </c>
      <c r="H46" s="162">
        <v>24367.5</v>
      </c>
      <c r="I46" s="163">
        <f t="shared" si="1"/>
        <v>-1.4167984885325113E-2</v>
      </c>
      <c r="K46" s="165">
        <v>45390</v>
      </c>
      <c r="L46" s="164">
        <v>659.85</v>
      </c>
      <c r="M46" s="163">
        <f t="shared" si="2"/>
        <v>1.5622595043866427E-2</v>
      </c>
      <c r="O46" s="165">
        <v>45390</v>
      </c>
      <c r="P46" s="160">
        <v>282.87</v>
      </c>
      <c r="Q46" s="163">
        <f t="shared" si="3"/>
        <v>1.3943651874686269E-2</v>
      </c>
      <c r="S46" s="165">
        <v>45390</v>
      </c>
      <c r="T46" s="160">
        <v>771.3</v>
      </c>
      <c r="U46" s="163">
        <f t="shared" si="4"/>
        <v>0.10146376294180648</v>
      </c>
      <c r="W46" s="165">
        <v>45390</v>
      </c>
      <c r="X46" s="162">
        <v>10076.1</v>
      </c>
      <c r="Y46" s="163">
        <f t="shared" si="5"/>
        <v>1.6822411044059349E-2</v>
      </c>
      <c r="AA46" s="165">
        <v>45390</v>
      </c>
      <c r="AB46" s="164">
        <v>463.11</v>
      </c>
      <c r="AC46" s="163">
        <f t="shared" si="6"/>
        <v>2.4081199416213339E-2</v>
      </c>
    </row>
    <row r="47" spans="3:29">
      <c r="C47" s="164" t="s">
        <v>242</v>
      </c>
      <c r="D47" s="164">
        <v>584.15</v>
      </c>
      <c r="E47" s="163">
        <f t="shared" si="0"/>
        <v>-1.2092000676475534E-2</v>
      </c>
      <c r="G47" s="161">
        <v>45501</v>
      </c>
      <c r="H47" s="162">
        <v>24717.7</v>
      </c>
      <c r="I47" s="163">
        <f t="shared" si="1"/>
        <v>-4.7171615693268887E-3</v>
      </c>
      <c r="K47" s="164" t="s">
        <v>242</v>
      </c>
      <c r="L47" s="164">
        <v>649.70000000000005</v>
      </c>
      <c r="M47" s="163">
        <f t="shared" si="2"/>
        <v>5.2316164561062584E-2</v>
      </c>
      <c r="O47" s="164" t="s">
        <v>242</v>
      </c>
      <c r="P47" s="160">
        <v>278.98</v>
      </c>
      <c r="Q47" s="163">
        <f t="shared" si="3"/>
        <v>-1.2704816505644478E-2</v>
      </c>
      <c r="S47" s="164" t="s">
        <v>242</v>
      </c>
      <c r="T47" s="160">
        <v>700.25</v>
      </c>
      <c r="U47" s="163">
        <f t="shared" si="4"/>
        <v>8.3519331845345324E-3</v>
      </c>
      <c r="W47" s="164" t="s">
        <v>242</v>
      </c>
      <c r="X47" s="162">
        <v>9909.4</v>
      </c>
      <c r="Y47" s="163">
        <f t="shared" si="5"/>
        <v>-2.7312481288619073E-2</v>
      </c>
      <c r="AA47" s="164" t="s">
        <v>242</v>
      </c>
      <c r="AB47" s="164">
        <v>452.22</v>
      </c>
      <c r="AC47" s="163">
        <f t="shared" si="6"/>
        <v>-5.1611685506364857E-2</v>
      </c>
    </row>
    <row r="48" spans="3:29">
      <c r="C48" s="164" t="s">
        <v>243</v>
      </c>
      <c r="D48" s="164">
        <v>591.29999999999995</v>
      </c>
      <c r="E48" s="163">
        <f t="shared" si="0"/>
        <v>2.7275886031966623E-2</v>
      </c>
      <c r="G48" s="161">
        <v>45494</v>
      </c>
      <c r="H48" s="162">
        <v>24834.85</v>
      </c>
      <c r="I48" s="163">
        <f t="shared" si="1"/>
        <v>1.2390495252925682E-2</v>
      </c>
      <c r="K48" s="164" t="s">
        <v>243</v>
      </c>
      <c r="L48" s="164">
        <v>617.4</v>
      </c>
      <c r="M48" s="163">
        <f t="shared" si="2"/>
        <v>4.5377582119878079E-2</v>
      </c>
      <c r="O48" s="164" t="s">
        <v>243</v>
      </c>
      <c r="P48" s="160">
        <v>282.57</v>
      </c>
      <c r="Q48" s="163">
        <f t="shared" si="3"/>
        <v>-1.2027551484213861E-2</v>
      </c>
      <c r="S48" s="164" t="s">
        <v>243</v>
      </c>
      <c r="T48" s="160">
        <v>694.45</v>
      </c>
      <c r="U48" s="163">
        <f t="shared" si="4"/>
        <v>0.1416241985862241</v>
      </c>
      <c r="W48" s="164" t="s">
        <v>243</v>
      </c>
      <c r="X48" s="162">
        <v>10187.65</v>
      </c>
      <c r="Y48" s="163">
        <f t="shared" si="5"/>
        <v>3.3224983646127582E-2</v>
      </c>
      <c r="AA48" s="164" t="s">
        <v>243</v>
      </c>
      <c r="AB48" s="164">
        <v>476.83</v>
      </c>
      <c r="AC48" s="163">
        <f t="shared" si="6"/>
        <v>9.2243906908557882E-2</v>
      </c>
    </row>
    <row r="49" spans="3:29">
      <c r="C49" s="164" t="s">
        <v>244</v>
      </c>
      <c r="D49" s="164">
        <v>575.6</v>
      </c>
      <c r="E49" s="163">
        <f t="shared" si="0"/>
        <v>2.7673629708980574E-2</v>
      </c>
      <c r="G49" s="161">
        <v>45487</v>
      </c>
      <c r="H49" s="162">
        <v>24530.9</v>
      </c>
      <c r="I49" s="163">
        <f t="shared" si="1"/>
        <v>1.1733664188653403E-3</v>
      </c>
      <c r="K49" s="164" t="s">
        <v>244</v>
      </c>
      <c r="L49" s="164">
        <v>590.6</v>
      </c>
      <c r="M49" s="163">
        <f t="shared" si="2"/>
        <v>-2.9257067718606145E-2</v>
      </c>
      <c r="O49" s="164" t="s">
        <v>244</v>
      </c>
      <c r="P49" s="160">
        <v>286.01</v>
      </c>
      <c r="Q49" s="163">
        <f t="shared" si="3"/>
        <v>1.2281446874778723E-2</v>
      </c>
      <c r="S49" s="164" t="s">
        <v>244</v>
      </c>
      <c r="T49" s="160">
        <v>608.29999999999995</v>
      </c>
      <c r="U49" s="163">
        <f t="shared" si="4"/>
        <v>1.105293775450833E-2</v>
      </c>
      <c r="W49" s="164" t="s">
        <v>244</v>
      </c>
      <c r="X49" s="162">
        <v>9860.0499999999993</v>
      </c>
      <c r="Y49" s="163">
        <f t="shared" si="5"/>
        <v>-3.2042566350397039E-2</v>
      </c>
      <c r="AA49" s="164" t="s">
        <v>244</v>
      </c>
      <c r="AB49" s="164">
        <v>436.56</v>
      </c>
      <c r="AC49" s="163">
        <f t="shared" si="6"/>
        <v>2.4109664531239972E-3</v>
      </c>
    </row>
    <row r="50" spans="3:29">
      <c r="C50" s="165">
        <v>45480</v>
      </c>
      <c r="D50" s="164">
        <v>560.1</v>
      </c>
      <c r="E50" s="163">
        <f t="shared" si="0"/>
        <v>1.2106975063245429E-2</v>
      </c>
      <c r="G50" s="161">
        <v>45480</v>
      </c>
      <c r="H50" s="162">
        <v>24502.15</v>
      </c>
      <c r="I50" s="163">
        <f t="shared" si="1"/>
        <v>7.3302540510651326E-3</v>
      </c>
      <c r="K50" s="165">
        <v>45480</v>
      </c>
      <c r="L50" s="164">
        <v>608.4</v>
      </c>
      <c r="M50" s="163">
        <f t="shared" si="2"/>
        <v>3.3288043478260976E-2</v>
      </c>
      <c r="O50" s="165">
        <v>45480</v>
      </c>
      <c r="P50" s="160">
        <v>282.54000000000002</v>
      </c>
      <c r="Q50" s="163">
        <f t="shared" si="3"/>
        <v>-1.4853556485355579E-2</v>
      </c>
      <c r="S50" s="165">
        <v>45480</v>
      </c>
      <c r="T50" s="160">
        <v>601.65</v>
      </c>
      <c r="U50" s="163">
        <f t="shared" si="4"/>
        <v>-1.4577020719023781E-2</v>
      </c>
      <c r="W50" s="165">
        <v>45480</v>
      </c>
      <c r="X50" s="162">
        <v>10186.450000000001</v>
      </c>
      <c r="Y50" s="163">
        <f t="shared" si="5"/>
        <v>-1.8102513434706036E-2</v>
      </c>
      <c r="AA50" s="165">
        <v>45480</v>
      </c>
      <c r="AB50" s="164">
        <v>435.51</v>
      </c>
      <c r="AC50" s="163">
        <f t="shared" si="6"/>
        <v>2.7994807034108282E-2</v>
      </c>
    </row>
    <row r="51" spans="3:29">
      <c r="C51" s="164" t="s">
        <v>245</v>
      </c>
      <c r="D51" s="164">
        <v>553.4</v>
      </c>
      <c r="E51" s="163">
        <f t="shared" si="0"/>
        <v>3.2366383732860715E-2</v>
      </c>
      <c r="G51" s="161">
        <v>45473</v>
      </c>
      <c r="H51" s="162">
        <v>24323.85</v>
      </c>
      <c r="I51" s="163">
        <f t="shared" si="1"/>
        <v>1.3046321208133094E-2</v>
      </c>
      <c r="K51" s="164" t="s">
        <v>245</v>
      </c>
      <c r="L51" s="164">
        <v>588.79999999999995</v>
      </c>
      <c r="M51" s="163">
        <f t="shared" si="2"/>
        <v>-3.8067845359952557E-3</v>
      </c>
      <c r="O51" s="164" t="s">
        <v>245</v>
      </c>
      <c r="P51" s="160">
        <v>286.8</v>
      </c>
      <c r="Q51" s="163">
        <f t="shared" si="3"/>
        <v>4.2871168321152009E-2</v>
      </c>
      <c r="S51" s="164" t="s">
        <v>245</v>
      </c>
      <c r="T51" s="160">
        <v>610.54999999999995</v>
      </c>
      <c r="U51" s="163">
        <f t="shared" si="4"/>
        <v>2.1755501631662622E-2</v>
      </c>
      <c r="W51" s="164" t="s">
        <v>245</v>
      </c>
      <c r="X51" s="162">
        <v>10374.25</v>
      </c>
      <c r="Y51" s="163">
        <f t="shared" si="5"/>
        <v>-2.5182644647513408E-2</v>
      </c>
      <c r="AA51" s="164" t="s">
        <v>245</v>
      </c>
      <c r="AB51" s="164">
        <v>423.65</v>
      </c>
      <c r="AC51" s="163">
        <f t="shared" si="6"/>
        <v>0.18603023516237394</v>
      </c>
    </row>
    <row r="52" spans="3:29">
      <c r="C52" s="164" t="s">
        <v>246</v>
      </c>
      <c r="D52" s="164">
        <v>536.04999999999995</v>
      </c>
      <c r="E52" s="163">
        <f t="shared" si="0"/>
        <v>6.7935053292160541E-2</v>
      </c>
      <c r="G52" s="161">
        <v>45466</v>
      </c>
      <c r="H52" s="162">
        <v>24010.6</v>
      </c>
      <c r="I52" s="163">
        <f t="shared" si="1"/>
        <v>2.1679836262983532E-2</v>
      </c>
      <c r="K52" s="164" t="s">
        <v>246</v>
      </c>
      <c r="L52" s="164">
        <v>591.04999999999995</v>
      </c>
      <c r="M52" s="163">
        <f t="shared" si="2"/>
        <v>-1.5736885928393063E-2</v>
      </c>
      <c r="O52" s="164" t="s">
        <v>246</v>
      </c>
      <c r="P52" s="160">
        <v>275.01</v>
      </c>
      <c r="Q52" s="163">
        <f t="shared" si="3"/>
        <v>-6.1239119303635459E-2</v>
      </c>
      <c r="S52" s="164" t="s">
        <v>246</v>
      </c>
      <c r="T52" s="160">
        <v>597.54999999999995</v>
      </c>
      <c r="U52" s="163">
        <f t="shared" si="4"/>
        <v>-2.9715028010067535E-2</v>
      </c>
      <c r="W52" s="164" t="s">
        <v>246</v>
      </c>
      <c r="X52" s="162">
        <v>10642.25</v>
      </c>
      <c r="Y52" s="163">
        <f t="shared" si="5"/>
        <v>-2.4988547869903788E-2</v>
      </c>
      <c r="AA52" s="164" t="s">
        <v>246</v>
      </c>
      <c r="AB52" s="164">
        <v>357.2</v>
      </c>
      <c r="AC52" s="163">
        <f t="shared" si="6"/>
        <v>-3.8000592496835517E-2</v>
      </c>
    </row>
    <row r="53" spans="3:29">
      <c r="C53" s="164" t="s">
        <v>247</v>
      </c>
      <c r="D53" s="164">
        <v>501.95</v>
      </c>
      <c r="E53" s="163">
        <f t="shared" si="0"/>
        <v>-4.7586001784475362E-3</v>
      </c>
      <c r="G53" s="161">
        <v>45459</v>
      </c>
      <c r="H53" s="162">
        <v>23501.1</v>
      </c>
      <c r="I53" s="163">
        <f t="shared" si="1"/>
        <v>1.5128528569481325E-3</v>
      </c>
      <c r="K53" s="164" t="s">
        <v>247</v>
      </c>
      <c r="L53" s="164">
        <v>600.5</v>
      </c>
      <c r="M53" s="163">
        <f t="shared" si="2"/>
        <v>-9.7295514511872572E-3</v>
      </c>
      <c r="O53" s="164" t="s">
        <v>247</v>
      </c>
      <c r="P53" s="160">
        <v>292.95</v>
      </c>
      <c r="Q53" s="163">
        <f t="shared" si="3"/>
        <v>4.7035276457342956E-2</v>
      </c>
      <c r="S53" s="164" t="s">
        <v>247</v>
      </c>
      <c r="T53" s="160">
        <v>615.85</v>
      </c>
      <c r="U53" s="163">
        <f t="shared" si="4"/>
        <v>3.5390047074647102E-2</v>
      </c>
      <c r="W53" s="164" t="s">
        <v>247</v>
      </c>
      <c r="X53" s="162">
        <v>10915</v>
      </c>
      <c r="Y53" s="163">
        <f t="shared" si="5"/>
        <v>-1.6378669430238579E-2</v>
      </c>
      <c r="AA53" s="164" t="s">
        <v>247</v>
      </c>
      <c r="AB53" s="164">
        <v>371.31</v>
      </c>
      <c r="AC53" s="163">
        <f t="shared" si="6"/>
        <v>3.6490431397988576E-3</v>
      </c>
    </row>
    <row r="54" spans="3:29">
      <c r="C54" s="165">
        <v>45541</v>
      </c>
      <c r="D54" s="164">
        <v>504.35</v>
      </c>
      <c r="E54" s="163">
        <f t="shared" si="0"/>
        <v>-1.8296836982968356E-2</v>
      </c>
      <c r="G54" s="161">
        <v>45452</v>
      </c>
      <c r="H54" s="162">
        <v>23465.599999999999</v>
      </c>
      <c r="I54" s="163">
        <f t="shared" si="1"/>
        <v>7.5332275661599279E-3</v>
      </c>
      <c r="K54" s="165">
        <v>45541</v>
      </c>
      <c r="L54" s="164">
        <v>606.4</v>
      </c>
      <c r="M54" s="163">
        <f t="shared" si="2"/>
        <v>5.9721300597213034E-3</v>
      </c>
      <c r="O54" s="165">
        <v>45541</v>
      </c>
      <c r="P54" s="160">
        <v>279.79000000000002</v>
      </c>
      <c r="Q54" s="163">
        <f t="shared" si="3"/>
        <v>-4.9497214295420533E-2</v>
      </c>
      <c r="S54" s="165">
        <v>45541</v>
      </c>
      <c r="T54" s="160">
        <v>594.79999999999995</v>
      </c>
      <c r="U54" s="163">
        <f t="shared" si="4"/>
        <v>-3.3474163145921443E-2</v>
      </c>
      <c r="W54" s="165">
        <v>45541</v>
      </c>
      <c r="X54" s="162">
        <v>11096.75</v>
      </c>
      <c r="Y54" s="163">
        <f t="shared" si="5"/>
        <v>4.4837602572371571E-2</v>
      </c>
      <c r="AA54" s="165">
        <v>45541</v>
      </c>
      <c r="AB54" s="164">
        <v>369.96</v>
      </c>
      <c r="AC54" s="163">
        <f t="shared" si="6"/>
        <v>-1.6874385480056375E-2</v>
      </c>
    </row>
    <row r="55" spans="3:29">
      <c r="C55" s="165">
        <v>45328</v>
      </c>
      <c r="D55" s="164">
        <v>513.75</v>
      </c>
      <c r="E55" s="163">
        <f t="shared" si="0"/>
        <v>5.2982168477146985E-2</v>
      </c>
      <c r="G55" s="161">
        <v>45445</v>
      </c>
      <c r="H55" s="162">
        <v>23290.15</v>
      </c>
      <c r="I55" s="163">
        <f t="shared" si="1"/>
        <v>3.3707341538434354E-2</v>
      </c>
      <c r="K55" s="165">
        <v>45328</v>
      </c>
      <c r="L55" s="164">
        <v>602.79999999999995</v>
      </c>
      <c r="M55" s="163">
        <f t="shared" si="2"/>
        <v>5.2374301675977675E-2</v>
      </c>
      <c r="O55" s="165">
        <v>45328</v>
      </c>
      <c r="P55" s="160">
        <v>294.36</v>
      </c>
      <c r="Q55" s="163">
        <f t="shared" si="3"/>
        <v>0.16357024270693343</v>
      </c>
      <c r="S55" s="165">
        <v>45328</v>
      </c>
      <c r="T55" s="160">
        <v>615.4</v>
      </c>
      <c r="U55" s="163">
        <f t="shared" si="4"/>
        <v>0.2032456740639359</v>
      </c>
      <c r="W55" s="165">
        <v>45328</v>
      </c>
      <c r="X55" s="162">
        <v>10620.55</v>
      </c>
      <c r="Y55" s="163">
        <f t="shared" si="5"/>
        <v>3.7948642771628904E-2</v>
      </c>
      <c r="AA55" s="165">
        <v>45328</v>
      </c>
      <c r="AB55" s="164">
        <v>376.31</v>
      </c>
      <c r="AC55" s="163">
        <f t="shared" si="6"/>
        <v>7.2872416250890915E-2</v>
      </c>
    </row>
    <row r="56" spans="3:29">
      <c r="C56" s="164" t="s">
        <v>248</v>
      </c>
      <c r="D56" s="164">
        <v>487.9</v>
      </c>
      <c r="E56" s="163">
        <f t="shared" si="0"/>
        <v>-1.1848101265822808E-2</v>
      </c>
      <c r="G56" s="161">
        <v>45438</v>
      </c>
      <c r="H56" s="162">
        <v>22530.7</v>
      </c>
      <c r="I56" s="163">
        <f t="shared" si="1"/>
        <v>-1.8573774562117951E-2</v>
      </c>
      <c r="K56" s="164" t="s">
        <v>248</v>
      </c>
      <c r="L56" s="164">
        <v>572.79999999999995</v>
      </c>
      <c r="M56" s="163">
        <f t="shared" si="2"/>
        <v>1.2235623142806684E-3</v>
      </c>
      <c r="O56" s="164" t="s">
        <v>248</v>
      </c>
      <c r="P56" s="160">
        <v>252.98</v>
      </c>
      <c r="Q56" s="163">
        <f t="shared" si="3"/>
        <v>3.1645053421417435E-2</v>
      </c>
      <c r="S56" s="164" t="s">
        <v>248</v>
      </c>
      <c r="T56" s="160">
        <v>511.45</v>
      </c>
      <c r="U56" s="163">
        <f t="shared" si="4"/>
        <v>-1.8047422482480591E-2</v>
      </c>
      <c r="W56" s="164" t="s">
        <v>248</v>
      </c>
      <c r="X56" s="162">
        <v>10232.25</v>
      </c>
      <c r="Y56" s="163">
        <f t="shared" si="5"/>
        <v>-3.8656670142901528E-2</v>
      </c>
      <c r="AA56" s="164" t="s">
        <v>248</v>
      </c>
      <c r="AB56" s="164">
        <v>350.75</v>
      </c>
      <c r="AC56" s="163">
        <f t="shared" si="6"/>
        <v>2.2922803231357092E-2</v>
      </c>
    </row>
    <row r="57" spans="3:29">
      <c r="C57" s="164" t="s">
        <v>249</v>
      </c>
      <c r="D57" s="164">
        <v>493.75</v>
      </c>
      <c r="E57" s="163">
        <f t="shared" si="0"/>
        <v>-7.3381584238036979E-3</v>
      </c>
      <c r="G57" s="161">
        <v>45431</v>
      </c>
      <c r="H57" s="162">
        <v>22957.1</v>
      </c>
      <c r="I57" s="163">
        <f t="shared" si="1"/>
        <v>2.1855150649200406E-2</v>
      </c>
      <c r="K57" s="164" t="s">
        <v>249</v>
      </c>
      <c r="L57" s="164">
        <v>572.1</v>
      </c>
      <c r="M57" s="163">
        <f t="shared" si="2"/>
        <v>8.6389280677010571E-3</v>
      </c>
      <c r="O57" s="164" t="s">
        <v>249</v>
      </c>
      <c r="P57" s="160">
        <v>245.22</v>
      </c>
      <c r="Q57" s="163">
        <f t="shared" si="3"/>
        <v>-4.3603744149765866E-2</v>
      </c>
      <c r="S57" s="164" t="s">
        <v>249</v>
      </c>
      <c r="T57" s="160">
        <v>520.85</v>
      </c>
      <c r="U57" s="163">
        <f t="shared" si="4"/>
        <v>-4.1674333026678889E-2</v>
      </c>
      <c r="W57" s="164" t="s">
        <v>249</v>
      </c>
      <c r="X57" s="162">
        <v>10643.7</v>
      </c>
      <c r="Y57" s="163">
        <f t="shared" si="5"/>
        <v>-5.0788356579745342E-2</v>
      </c>
      <c r="AA57" s="164" t="s">
        <v>249</v>
      </c>
      <c r="AB57" s="164">
        <v>342.89</v>
      </c>
      <c r="AC57" s="163">
        <f t="shared" si="6"/>
        <v>-9.646766600236889E-3</v>
      </c>
    </row>
    <row r="58" spans="3:29">
      <c r="C58" s="165">
        <v>45631</v>
      </c>
      <c r="D58" s="164">
        <v>497.4</v>
      </c>
      <c r="E58" s="163">
        <f t="shared" si="0"/>
        <v>4.0371417036737522E-3</v>
      </c>
      <c r="G58" s="161">
        <v>45424</v>
      </c>
      <c r="H58" s="162">
        <v>22466.1</v>
      </c>
      <c r="I58" s="163">
        <f t="shared" si="1"/>
        <v>1.8630527041241907E-2</v>
      </c>
      <c r="K58" s="165">
        <v>45631</v>
      </c>
      <c r="L58" s="164">
        <v>567.20000000000005</v>
      </c>
      <c r="M58" s="163">
        <f t="shared" si="2"/>
        <v>-1.5363249717906258E-2</v>
      </c>
      <c r="O58" s="165">
        <v>45631</v>
      </c>
      <c r="P58" s="160">
        <v>256.39999999999998</v>
      </c>
      <c r="Q58" s="163">
        <f t="shared" si="3"/>
        <v>3.9613996675181395E-2</v>
      </c>
      <c r="S58" s="165">
        <v>45631</v>
      </c>
      <c r="T58" s="160">
        <v>543.5</v>
      </c>
      <c r="U58" s="163">
        <f t="shared" si="4"/>
        <v>4.499134781772729E-2</v>
      </c>
      <c r="W58" s="165">
        <v>45631</v>
      </c>
      <c r="X58" s="162">
        <v>11213.2</v>
      </c>
      <c r="Y58" s="163">
        <f t="shared" si="5"/>
        <v>-5.7964035545254866E-5</v>
      </c>
      <c r="AA58" s="165">
        <v>45631</v>
      </c>
      <c r="AB58" s="164">
        <v>346.23</v>
      </c>
      <c r="AC58" s="163">
        <f t="shared" si="6"/>
        <v>1.145160819140556E-2</v>
      </c>
    </row>
    <row r="59" spans="3:29">
      <c r="C59" s="165">
        <v>45417</v>
      </c>
      <c r="D59" s="164">
        <v>495.4</v>
      </c>
      <c r="E59" s="163">
        <f t="shared" si="0"/>
        <v>-2.3457520205007021E-2</v>
      </c>
      <c r="G59" s="161">
        <v>45417</v>
      </c>
      <c r="H59" s="162">
        <v>22055.200000000001</v>
      </c>
      <c r="I59" s="163">
        <f t="shared" si="1"/>
        <v>-1.8715643679771743E-2</v>
      </c>
      <c r="K59" s="165">
        <v>45417</v>
      </c>
      <c r="L59" s="164">
        <v>576.04999999999995</v>
      </c>
      <c r="M59" s="163">
        <f t="shared" si="2"/>
        <v>-2.0073147911882416E-2</v>
      </c>
      <c r="O59" s="165">
        <v>45417</v>
      </c>
      <c r="P59" s="160">
        <v>246.63</v>
      </c>
      <c r="Q59" s="163">
        <f t="shared" si="3"/>
        <v>-3.240613598022668E-2</v>
      </c>
      <c r="S59" s="165">
        <v>45417</v>
      </c>
      <c r="T59" s="160">
        <v>520.1</v>
      </c>
      <c r="U59" s="163">
        <f t="shared" si="4"/>
        <v>-3.8276627218934767E-2</v>
      </c>
      <c r="W59" s="165">
        <v>45417</v>
      </c>
      <c r="X59" s="162">
        <v>11213.85</v>
      </c>
      <c r="Y59" s="163">
        <f t="shared" si="5"/>
        <v>-6.1304012991578949E-2</v>
      </c>
      <c r="AA59" s="165">
        <v>45417</v>
      </c>
      <c r="AB59" s="164">
        <v>342.31</v>
      </c>
      <c r="AC59" s="163">
        <f t="shared" si="6"/>
        <v>2.4573480993714369E-2</v>
      </c>
    </row>
    <row r="60" spans="3:29">
      <c r="C60" s="164" t="s">
        <v>250</v>
      </c>
      <c r="D60" s="164">
        <v>507.3</v>
      </c>
      <c r="E60" s="163">
        <f t="shared" si="0"/>
        <v>9.7531847133758287E-3</v>
      </c>
      <c r="G60" s="161">
        <v>45410</v>
      </c>
      <c r="H60" s="162">
        <v>22475.85</v>
      </c>
      <c r="I60" s="163">
        <f t="shared" si="1"/>
        <v>2.4933151055197555E-3</v>
      </c>
      <c r="K60" s="164" t="s">
        <v>250</v>
      </c>
      <c r="L60" s="164">
        <v>587.85</v>
      </c>
      <c r="M60" s="163">
        <f t="shared" si="2"/>
        <v>1.2051304123267714E-2</v>
      </c>
      <c r="O60" s="164" t="s">
        <v>250</v>
      </c>
      <c r="P60" s="160">
        <v>254.89</v>
      </c>
      <c r="Q60" s="163">
        <f t="shared" si="3"/>
        <v>3.286327903395736E-2</v>
      </c>
      <c r="S60" s="164" t="s">
        <v>250</v>
      </c>
      <c r="T60" s="160">
        <v>540.79999999999995</v>
      </c>
      <c r="U60" s="163">
        <f t="shared" si="4"/>
        <v>3.5122978275432981E-2</v>
      </c>
      <c r="W60" s="164" t="s">
        <v>250</v>
      </c>
      <c r="X60" s="162">
        <v>11946.2</v>
      </c>
      <c r="Y60" s="163">
        <f t="shared" si="5"/>
        <v>5.0140494338162256E-3</v>
      </c>
      <c r="AA60" s="164" t="s">
        <v>250</v>
      </c>
      <c r="AB60" s="164">
        <v>334.1</v>
      </c>
      <c r="AC60" s="163">
        <f t="shared" si="6"/>
        <v>6.2894965407789272E-4</v>
      </c>
    </row>
    <row r="61" spans="3:29">
      <c r="C61" s="164" t="s">
        <v>251</v>
      </c>
      <c r="D61" s="164">
        <v>502.4</v>
      </c>
      <c r="E61" s="163">
        <f t="shared" si="0"/>
        <v>1.3209640012100232E-2</v>
      </c>
      <c r="G61" s="161">
        <v>45403</v>
      </c>
      <c r="H61" s="162">
        <v>22419.95</v>
      </c>
      <c r="I61" s="163">
        <f t="shared" si="1"/>
        <v>1.2324468325281002E-2</v>
      </c>
      <c r="K61" s="164" t="s">
        <v>251</v>
      </c>
      <c r="L61" s="164">
        <v>580.85</v>
      </c>
      <c r="M61" s="163">
        <f t="shared" si="2"/>
        <v>1.7072316582034563E-2</v>
      </c>
      <c r="O61" s="164" t="s">
        <v>251</v>
      </c>
      <c r="P61" s="160">
        <v>246.78</v>
      </c>
      <c r="Q61" s="163">
        <f t="shared" si="3"/>
        <v>0.17525478617011148</v>
      </c>
      <c r="S61" s="164" t="s">
        <v>251</v>
      </c>
      <c r="T61" s="160">
        <v>522.45000000000005</v>
      </c>
      <c r="U61" s="163">
        <f t="shared" si="4"/>
        <v>3.6093207734258836E-2</v>
      </c>
      <c r="W61" s="164" t="s">
        <v>251</v>
      </c>
      <c r="X61" s="162">
        <v>11886.6</v>
      </c>
      <c r="Y61" s="163">
        <f t="shared" si="5"/>
        <v>4.4576359809655131E-2</v>
      </c>
      <c r="AA61" s="164" t="s">
        <v>251</v>
      </c>
      <c r="AB61" s="164">
        <v>333.89</v>
      </c>
      <c r="AC61" s="163">
        <f t="shared" si="6"/>
        <v>2.3072680475548335E-2</v>
      </c>
    </row>
    <row r="62" spans="3:29">
      <c r="C62" s="164" t="s">
        <v>252</v>
      </c>
      <c r="D62" s="164">
        <v>495.85</v>
      </c>
      <c r="E62" s="163">
        <f t="shared" si="0"/>
        <v>-4.6350610635638057E-2</v>
      </c>
      <c r="G62" s="161">
        <v>45396</v>
      </c>
      <c r="H62" s="162">
        <v>22147</v>
      </c>
      <c r="I62" s="163">
        <f t="shared" si="1"/>
        <v>-1.6536852669254087E-2</v>
      </c>
      <c r="K62" s="164" t="s">
        <v>252</v>
      </c>
      <c r="L62" s="164">
        <v>571.1</v>
      </c>
      <c r="M62" s="163">
        <f t="shared" si="2"/>
        <v>-1.4155014672880939E-2</v>
      </c>
      <c r="O62" s="164" t="s">
        <v>252</v>
      </c>
      <c r="P62" s="160">
        <v>209.98</v>
      </c>
      <c r="Q62" s="163">
        <f t="shared" si="3"/>
        <v>-5.9987465305757048E-2</v>
      </c>
      <c r="S62" s="164" t="s">
        <v>252</v>
      </c>
      <c r="T62" s="160">
        <v>504.25</v>
      </c>
      <c r="U62" s="163">
        <f t="shared" si="4"/>
        <v>-3.4928229665071808E-2</v>
      </c>
      <c r="W62" s="164" t="s">
        <v>252</v>
      </c>
      <c r="X62" s="162">
        <v>11379.35</v>
      </c>
      <c r="Y62" s="163">
        <f t="shared" si="5"/>
        <v>-4.2033396050897953E-2</v>
      </c>
      <c r="AA62" s="164" t="s">
        <v>252</v>
      </c>
      <c r="AB62" s="164">
        <v>326.36</v>
      </c>
      <c r="AC62" s="163">
        <f t="shared" si="6"/>
        <v>1.3445952240474623E-2</v>
      </c>
    </row>
    <row r="63" spans="3:29">
      <c r="C63" s="165">
        <v>45477</v>
      </c>
      <c r="D63" s="164">
        <v>519.95000000000005</v>
      </c>
      <c r="E63" s="163">
        <f t="shared" si="0"/>
        <v>-3.7363479593790494E-3</v>
      </c>
      <c r="G63" s="161">
        <v>45389</v>
      </c>
      <c r="H63" s="162">
        <v>22519.4</v>
      </c>
      <c r="I63" s="163">
        <f t="shared" si="1"/>
        <v>2.5317917534661838E-4</v>
      </c>
      <c r="K63" s="165">
        <v>45477</v>
      </c>
      <c r="L63" s="164">
        <v>579.29999999999995</v>
      </c>
      <c r="M63" s="163">
        <f t="shared" si="2"/>
        <v>-1.120786274679042E-3</v>
      </c>
      <c r="O63" s="165">
        <v>45477</v>
      </c>
      <c r="P63" s="160">
        <v>223.38</v>
      </c>
      <c r="Q63" s="163">
        <f t="shared" si="3"/>
        <v>-2.3176491166695845E-2</v>
      </c>
      <c r="S63" s="165">
        <v>45477</v>
      </c>
      <c r="T63" s="160">
        <v>522.5</v>
      </c>
      <c r="U63" s="163">
        <f t="shared" si="4"/>
        <v>-1.1259343362664431E-2</v>
      </c>
      <c r="W63" s="165">
        <v>45477</v>
      </c>
      <c r="X63" s="162">
        <v>11878.65</v>
      </c>
      <c r="Y63" s="163">
        <f t="shared" si="5"/>
        <v>-2.0826292318218087E-2</v>
      </c>
      <c r="AA63" s="165">
        <v>45477</v>
      </c>
      <c r="AB63" s="164">
        <v>322.02999999999997</v>
      </c>
      <c r="AC63" s="163">
        <f t="shared" si="6"/>
        <v>2.4463956225742711E-2</v>
      </c>
    </row>
    <row r="64" spans="3:29">
      <c r="C64" s="164" t="s">
        <v>253</v>
      </c>
      <c r="D64" s="164">
        <v>521.9</v>
      </c>
      <c r="E64" s="163">
        <f t="shared" si="0"/>
        <v>0.1045502645502645</v>
      </c>
      <c r="G64" s="161">
        <v>45382</v>
      </c>
      <c r="H64" s="162">
        <v>22513.7</v>
      </c>
      <c r="I64" s="163">
        <f t="shared" si="1"/>
        <v>8.3665891816597782E-3</v>
      </c>
      <c r="K64" s="164" t="s">
        <v>253</v>
      </c>
      <c r="L64" s="164">
        <v>579.95000000000005</v>
      </c>
      <c r="M64" s="163">
        <f t="shared" si="2"/>
        <v>-1.0830632781852145E-2</v>
      </c>
      <c r="O64" s="164" t="s">
        <v>253</v>
      </c>
      <c r="P64" s="160">
        <v>228.68</v>
      </c>
      <c r="Q64" s="163">
        <f t="shared" si="3"/>
        <v>2.5746837714183179E-2</v>
      </c>
      <c r="S64" s="164" t="s">
        <v>253</v>
      </c>
      <c r="T64" s="160">
        <v>528.45000000000005</v>
      </c>
      <c r="U64" s="163">
        <f t="shared" si="4"/>
        <v>9.1275167785235034E-2</v>
      </c>
      <c r="W64" s="164" t="s">
        <v>253</v>
      </c>
      <c r="X64" s="162">
        <v>12131.3</v>
      </c>
      <c r="Y64" s="163">
        <f t="shared" si="5"/>
        <v>-1.8733468684531962E-2</v>
      </c>
      <c r="AA64" s="164" t="s">
        <v>253</v>
      </c>
      <c r="AB64" s="164">
        <v>314.33999999999997</v>
      </c>
      <c r="AC64" s="163">
        <f t="shared" si="6"/>
        <v>6.5126050420168058E-2</v>
      </c>
    </row>
    <row r="65" spans="3:29">
      <c r="C65" s="164" t="s">
        <v>254</v>
      </c>
      <c r="D65" s="164">
        <v>472.5</v>
      </c>
      <c r="E65" s="163">
        <f t="shared" si="0"/>
        <v>-2.5069637883008311E-2</v>
      </c>
      <c r="G65" s="161">
        <v>45375</v>
      </c>
      <c r="H65" s="162">
        <v>22326.9</v>
      </c>
      <c r="I65" s="163">
        <f t="shared" si="1"/>
        <v>1.0415558849152129E-2</v>
      </c>
      <c r="K65" s="164" t="s">
        <v>254</v>
      </c>
      <c r="L65" s="164">
        <v>586.29999999999995</v>
      </c>
      <c r="M65" s="163">
        <f t="shared" si="2"/>
        <v>-3.0267945749255842E-2</v>
      </c>
      <c r="O65" s="164" t="s">
        <v>254</v>
      </c>
      <c r="P65" s="160">
        <v>222.94</v>
      </c>
      <c r="Q65" s="163">
        <f t="shared" si="3"/>
        <v>6.0255861511389952E-2</v>
      </c>
      <c r="S65" s="164" t="s">
        <v>254</v>
      </c>
      <c r="T65" s="160">
        <v>484.25</v>
      </c>
      <c r="U65" s="163">
        <f t="shared" si="4"/>
        <v>-3.1790462861141622E-2</v>
      </c>
      <c r="W65" s="164" t="s">
        <v>254</v>
      </c>
      <c r="X65" s="162">
        <v>12362.9</v>
      </c>
      <c r="Y65" s="163">
        <f t="shared" si="5"/>
        <v>-3.3223201892436105E-2</v>
      </c>
      <c r="AA65" s="164" t="s">
        <v>254</v>
      </c>
      <c r="AB65" s="164">
        <v>295.12</v>
      </c>
      <c r="AC65" s="163">
        <f t="shared" si="6"/>
        <v>-1.2150627615062692E-2</v>
      </c>
    </row>
    <row r="66" spans="3:29">
      <c r="C66" s="164" t="s">
        <v>255</v>
      </c>
      <c r="D66" s="164">
        <v>484.65</v>
      </c>
      <c r="E66" s="163">
        <f t="shared" si="0"/>
        <v>-1.4422581642115073E-3</v>
      </c>
      <c r="G66" s="161">
        <v>45368</v>
      </c>
      <c r="H66" s="162">
        <v>22096.75</v>
      </c>
      <c r="I66" s="163">
        <f t="shared" si="1"/>
        <v>3.3328262957270649E-3</v>
      </c>
      <c r="K66" s="164" t="s">
        <v>255</v>
      </c>
      <c r="L66" s="164">
        <v>604.6</v>
      </c>
      <c r="M66" s="163">
        <f t="shared" si="2"/>
        <v>3.9993119463318072E-2</v>
      </c>
      <c r="O66" s="164" t="s">
        <v>255</v>
      </c>
      <c r="P66" s="160">
        <v>210.27</v>
      </c>
      <c r="Q66" s="163">
        <f t="shared" si="3"/>
        <v>1.0962065483917538E-2</v>
      </c>
      <c r="S66" s="164" t="s">
        <v>255</v>
      </c>
      <c r="T66" s="160">
        <v>500.15</v>
      </c>
      <c r="U66" s="163">
        <f t="shared" si="4"/>
        <v>3.4971546818416854E-2</v>
      </c>
      <c r="W66" s="164" t="s">
        <v>255</v>
      </c>
      <c r="X66" s="162">
        <v>12787.75</v>
      </c>
      <c r="Y66" s="163">
        <f t="shared" si="5"/>
        <v>2.3241020060333017E-2</v>
      </c>
      <c r="AA66" s="164" t="s">
        <v>255</v>
      </c>
      <c r="AB66" s="164">
        <v>298.75</v>
      </c>
      <c r="AC66" s="163">
        <f t="shared" si="6"/>
        <v>1.0622103447109232E-2</v>
      </c>
    </row>
    <row r="67" spans="3:29">
      <c r="C67" s="165">
        <v>45568</v>
      </c>
      <c r="D67" s="164">
        <v>485.35</v>
      </c>
      <c r="E67" s="163">
        <f t="shared" si="0"/>
        <v>-4.3739533050930923E-2</v>
      </c>
      <c r="G67" s="161">
        <v>45361</v>
      </c>
      <c r="H67" s="162">
        <v>22023.35</v>
      </c>
      <c r="I67" s="163">
        <f t="shared" si="1"/>
        <v>-2.0903770191899484E-2</v>
      </c>
      <c r="K67" s="165">
        <v>45568</v>
      </c>
      <c r="L67" s="164">
        <v>581.35</v>
      </c>
      <c r="M67" s="163">
        <f t="shared" si="2"/>
        <v>-5.2095222566443722E-2</v>
      </c>
      <c r="O67" s="165">
        <v>45568</v>
      </c>
      <c r="P67" s="160">
        <v>207.99</v>
      </c>
      <c r="Q67" s="163">
        <f t="shared" si="3"/>
        <v>-6.0690050654687022E-3</v>
      </c>
      <c r="S67" s="165">
        <v>45568</v>
      </c>
      <c r="T67" s="160">
        <v>483.25</v>
      </c>
      <c r="U67" s="163">
        <f t="shared" si="4"/>
        <v>-0.13115785688601234</v>
      </c>
      <c r="W67" s="165">
        <v>45568</v>
      </c>
      <c r="X67" s="162">
        <v>12497.3</v>
      </c>
      <c r="Y67" s="163">
        <f t="shared" si="5"/>
        <v>-7.2900593471810105E-2</v>
      </c>
      <c r="AA67" s="165">
        <v>45568</v>
      </c>
      <c r="AB67" s="164">
        <v>295.61</v>
      </c>
      <c r="AC67" s="163">
        <f t="shared" si="6"/>
        <v>-6.6150687095245631E-2</v>
      </c>
    </row>
    <row r="68" spans="3:29">
      <c r="C68" s="165">
        <v>45354</v>
      </c>
      <c r="D68" s="164">
        <v>507.55</v>
      </c>
      <c r="E68" s="163">
        <f t="shared" si="0"/>
        <v>-1.3795783542213114E-2</v>
      </c>
      <c r="G68" s="161">
        <v>45354</v>
      </c>
      <c r="H68" s="162">
        <v>22493.55</v>
      </c>
      <c r="I68" s="163">
        <f t="shared" si="1"/>
        <v>6.929662581836471E-3</v>
      </c>
      <c r="K68" s="165">
        <v>45354</v>
      </c>
      <c r="L68" s="164">
        <v>613.29999999999995</v>
      </c>
      <c r="M68" s="163">
        <f t="shared" si="2"/>
        <v>-2.3640850115418277E-2</v>
      </c>
      <c r="O68" s="165">
        <v>45354</v>
      </c>
      <c r="P68" s="160">
        <v>209.26</v>
      </c>
      <c r="Q68" s="163">
        <f t="shared" si="3"/>
        <v>-4.4867406088822004E-2</v>
      </c>
      <c r="S68" s="165">
        <v>45354</v>
      </c>
      <c r="T68" s="160">
        <v>556.20000000000005</v>
      </c>
      <c r="U68" s="163">
        <f t="shared" si="4"/>
        <v>4.8642533936651633E-2</v>
      </c>
      <c r="W68" s="165">
        <v>45354</v>
      </c>
      <c r="X68" s="162">
        <v>13480</v>
      </c>
      <c r="Y68" s="163">
        <f t="shared" si="5"/>
        <v>2.6613508192726121E-2</v>
      </c>
      <c r="AA68" s="165">
        <v>45354</v>
      </c>
      <c r="AB68" s="164">
        <v>316.55</v>
      </c>
      <c r="AC68" s="163">
        <f t="shared" si="6"/>
        <v>1.0825137310001232E-2</v>
      </c>
    </row>
    <row r="69" spans="3:29">
      <c r="C69" s="164" t="s">
        <v>256</v>
      </c>
      <c r="D69" s="164">
        <v>514.65</v>
      </c>
      <c r="E69" s="163">
        <f t="shared" si="0"/>
        <v>-1.0193287816136265E-2</v>
      </c>
      <c r="G69" s="161">
        <v>45347</v>
      </c>
      <c r="H69" s="162">
        <v>22338.75</v>
      </c>
      <c r="I69" s="163">
        <f t="shared" si="1"/>
        <v>5.6746816010659895E-3</v>
      </c>
      <c r="K69" s="164" t="s">
        <v>256</v>
      </c>
      <c r="L69" s="164">
        <v>628.15</v>
      </c>
      <c r="M69" s="163">
        <f t="shared" si="2"/>
        <v>-1.3506085590891281E-2</v>
      </c>
      <c r="O69" s="164" t="s">
        <v>256</v>
      </c>
      <c r="P69" s="160">
        <v>219.09</v>
      </c>
      <c r="Q69" s="163">
        <f t="shared" si="3"/>
        <v>-3.983697081251647E-2</v>
      </c>
      <c r="S69" s="164" t="s">
        <v>256</v>
      </c>
      <c r="T69" s="160">
        <v>530.4</v>
      </c>
      <c r="U69" s="163">
        <f t="shared" si="4"/>
        <v>3.7558685446009266E-2</v>
      </c>
      <c r="W69" s="164" t="s">
        <v>256</v>
      </c>
      <c r="X69" s="162">
        <v>13130.55</v>
      </c>
      <c r="Y69" s="163">
        <f t="shared" si="5"/>
        <v>-3.9732774602617482E-2</v>
      </c>
      <c r="AA69" s="164" t="s">
        <v>256</v>
      </c>
      <c r="AB69" s="164">
        <v>313.16000000000003</v>
      </c>
      <c r="AC69" s="163">
        <f t="shared" si="6"/>
        <v>-1.5560655119298272E-2</v>
      </c>
    </row>
    <row r="70" spans="3:29">
      <c r="C70" s="164" t="s">
        <v>257</v>
      </c>
      <c r="D70" s="164">
        <v>519.95000000000005</v>
      </c>
      <c r="E70" s="163">
        <f t="shared" si="0"/>
        <v>-1.1031859248692211E-2</v>
      </c>
      <c r="G70" s="161">
        <v>45340</v>
      </c>
      <c r="H70" s="162">
        <v>22212.7</v>
      </c>
      <c r="I70" s="163">
        <f t="shared" si="1"/>
        <v>7.8037448901351336E-3</v>
      </c>
      <c r="K70" s="164" t="s">
        <v>257</v>
      </c>
      <c r="L70" s="164">
        <v>636.75</v>
      </c>
      <c r="M70" s="163">
        <f t="shared" si="2"/>
        <v>-1.6602316602316591E-2</v>
      </c>
      <c r="O70" s="164" t="s">
        <v>257</v>
      </c>
      <c r="P70" s="160">
        <v>228.18</v>
      </c>
      <c r="Q70" s="163">
        <f t="shared" si="3"/>
        <v>0.10472040668119087</v>
      </c>
      <c r="S70" s="164" t="s">
        <v>257</v>
      </c>
      <c r="T70" s="160">
        <v>511.2</v>
      </c>
      <c r="U70" s="163">
        <f t="shared" si="4"/>
        <v>9.6780564882479325E-3</v>
      </c>
      <c r="W70" s="164" t="s">
        <v>257</v>
      </c>
      <c r="X70" s="162">
        <v>13673.85</v>
      </c>
      <c r="Y70" s="163">
        <f t="shared" si="5"/>
        <v>5.3605483061915704E-2</v>
      </c>
      <c r="AA70" s="164" t="s">
        <v>257</v>
      </c>
      <c r="AB70" s="164">
        <v>318.11</v>
      </c>
      <c r="AC70" s="163">
        <f t="shared" si="6"/>
        <v>-3.8828871144512833E-3</v>
      </c>
    </row>
    <row r="71" spans="3:29">
      <c r="C71" s="165">
        <v>45598</v>
      </c>
      <c r="D71" s="164">
        <v>525.75</v>
      </c>
      <c r="E71" s="163">
        <f t="shared" si="0"/>
        <v>-3.0607541255646797E-2</v>
      </c>
      <c r="G71" s="161">
        <v>45333</v>
      </c>
      <c r="H71" s="162">
        <v>22040.7</v>
      </c>
      <c r="I71" s="163">
        <f t="shared" si="1"/>
        <v>1.1853552163433978E-2</v>
      </c>
      <c r="K71" s="165">
        <v>45598</v>
      </c>
      <c r="L71" s="164">
        <v>647.5</v>
      </c>
      <c r="M71" s="163">
        <f t="shared" si="2"/>
        <v>-2.1164021164021163E-2</v>
      </c>
      <c r="O71" s="165">
        <v>45598</v>
      </c>
      <c r="P71" s="160">
        <v>206.55</v>
      </c>
      <c r="Q71" s="163">
        <f t="shared" si="3"/>
        <v>-3.9302325581395348E-2</v>
      </c>
      <c r="S71" s="165">
        <v>45598</v>
      </c>
      <c r="T71" s="160">
        <v>506.3</v>
      </c>
      <c r="U71" s="163">
        <f t="shared" si="4"/>
        <v>-4.8397706982426403E-2</v>
      </c>
      <c r="W71" s="165">
        <v>45598</v>
      </c>
      <c r="X71" s="162">
        <v>12978.15</v>
      </c>
      <c r="Y71" s="163">
        <f t="shared" si="5"/>
        <v>-5.2420031979906745E-2</v>
      </c>
      <c r="AA71" s="165">
        <v>45598</v>
      </c>
      <c r="AB71" s="164">
        <v>319.35000000000002</v>
      </c>
      <c r="AC71" s="163">
        <f t="shared" si="6"/>
        <v>1.7566423037109757E-3</v>
      </c>
    </row>
    <row r="72" spans="3:29">
      <c r="C72" s="165">
        <v>45384</v>
      </c>
      <c r="D72" s="164">
        <v>542.35</v>
      </c>
      <c r="E72" s="163">
        <f t="shared" si="0"/>
        <v>-9.2106475085196315E-4</v>
      </c>
      <c r="G72" s="161">
        <v>45326</v>
      </c>
      <c r="H72" s="162">
        <v>21782.5</v>
      </c>
      <c r="I72" s="163">
        <f t="shared" si="1"/>
        <v>-3.2625904876955047E-3</v>
      </c>
      <c r="K72" s="165">
        <v>45384</v>
      </c>
      <c r="L72" s="164">
        <v>661.5</v>
      </c>
      <c r="M72" s="163">
        <f t="shared" si="2"/>
        <v>2.5263484190948482E-2</v>
      </c>
      <c r="O72" s="165">
        <v>45384</v>
      </c>
      <c r="P72" s="160">
        <v>215</v>
      </c>
      <c r="Q72" s="163">
        <f t="shared" si="3"/>
        <v>-9.2329125680753132E-2</v>
      </c>
      <c r="S72" s="165">
        <v>45384</v>
      </c>
      <c r="T72" s="160">
        <v>532.04999999999995</v>
      </c>
      <c r="U72" s="163">
        <f t="shared" si="4"/>
        <v>-3.5442349528644113E-2</v>
      </c>
      <c r="W72" s="165">
        <v>45384</v>
      </c>
      <c r="X72" s="162">
        <v>13696.1</v>
      </c>
      <c r="Y72" s="163">
        <f t="shared" si="5"/>
        <v>-1.0408124189405399E-2</v>
      </c>
      <c r="AA72" s="165">
        <v>45384</v>
      </c>
      <c r="AB72" s="164">
        <v>318.79000000000002</v>
      </c>
      <c r="AC72" s="163">
        <f t="shared" si="6"/>
        <v>-2.9399806086385372E-3</v>
      </c>
    </row>
    <row r="73" spans="3:29">
      <c r="C73" s="164" t="s">
        <v>258</v>
      </c>
      <c r="D73" s="164">
        <v>542.85</v>
      </c>
      <c r="E73" s="163">
        <f t="shared" si="0"/>
        <v>2.5856496444731647E-3</v>
      </c>
      <c r="G73" s="161">
        <v>45319</v>
      </c>
      <c r="H73" s="162">
        <v>21853.8</v>
      </c>
      <c r="I73" s="163">
        <f t="shared" si="1"/>
        <v>2.3472551352060167E-2</v>
      </c>
      <c r="K73" s="164" t="s">
        <v>258</v>
      </c>
      <c r="L73" s="164">
        <v>645.20000000000005</v>
      </c>
      <c r="M73" s="163">
        <f t="shared" si="2"/>
        <v>5.1409876927870357E-3</v>
      </c>
      <c r="O73" s="164" t="s">
        <v>258</v>
      </c>
      <c r="P73" s="160">
        <v>236.87</v>
      </c>
      <c r="Q73" s="163">
        <f t="shared" si="3"/>
        <v>1.0565463612544068E-3</v>
      </c>
      <c r="S73" s="164" t="s">
        <v>258</v>
      </c>
      <c r="T73" s="160">
        <v>551.6</v>
      </c>
      <c r="U73" s="163">
        <f t="shared" si="4"/>
        <v>8.7646652864044272E-2</v>
      </c>
      <c r="W73" s="164" t="s">
        <v>258</v>
      </c>
      <c r="X73" s="162">
        <v>13840.15</v>
      </c>
      <c r="Y73" s="163">
        <f t="shared" si="5"/>
        <v>1.5183578263277431E-2</v>
      </c>
      <c r="AA73" s="164" t="s">
        <v>258</v>
      </c>
      <c r="AB73" s="164">
        <v>319.73</v>
      </c>
      <c r="AC73" s="163">
        <f t="shared" si="6"/>
        <v>-1.9042267590683171E-3</v>
      </c>
    </row>
    <row r="74" spans="3:29">
      <c r="C74" s="164" t="s">
        <v>259</v>
      </c>
      <c r="D74" s="164">
        <v>541.45000000000005</v>
      </c>
      <c r="E74" s="163">
        <f t="shared" si="0"/>
        <v>-3.313391624482187E-3</v>
      </c>
      <c r="G74" s="161">
        <v>45312</v>
      </c>
      <c r="H74" s="162">
        <v>21352.6</v>
      </c>
      <c r="I74" s="163">
        <f t="shared" si="1"/>
        <v>-1.2477800799171379E-2</v>
      </c>
      <c r="K74" s="164" t="s">
        <v>259</v>
      </c>
      <c r="L74" s="164">
        <v>641.9</v>
      </c>
      <c r="M74" s="163">
        <f t="shared" si="2"/>
        <v>1.3019805886530511E-2</v>
      </c>
      <c r="O74" s="164" t="s">
        <v>259</v>
      </c>
      <c r="P74" s="160">
        <v>236.62</v>
      </c>
      <c r="Q74" s="163">
        <f t="shared" si="3"/>
        <v>3.8050141631074119E-4</v>
      </c>
      <c r="S74" s="164" t="s">
        <v>259</v>
      </c>
      <c r="T74" s="160">
        <v>507.15</v>
      </c>
      <c r="U74" s="163">
        <f t="shared" si="4"/>
        <v>-7.9833076295019456E-2</v>
      </c>
      <c r="W74" s="164" t="s">
        <v>259</v>
      </c>
      <c r="X74" s="162">
        <v>13633.15</v>
      </c>
      <c r="Y74" s="163">
        <f t="shared" si="5"/>
        <v>-1.0699824390810297E-2</v>
      </c>
      <c r="AA74" s="164" t="s">
        <v>259</v>
      </c>
      <c r="AB74" s="164">
        <v>320.33999999999997</v>
      </c>
      <c r="AC74" s="163">
        <f t="shared" si="6"/>
        <v>-1.2332737251032899E-2</v>
      </c>
    </row>
    <row r="75" spans="3:29">
      <c r="C75" s="164" t="s">
        <v>260</v>
      </c>
      <c r="D75" s="164">
        <v>543.25</v>
      </c>
      <c r="E75" s="163">
        <f t="shared" si="0"/>
        <v>-9.2102863395949752E-3</v>
      </c>
      <c r="G75" s="161">
        <v>45305</v>
      </c>
      <c r="H75" s="162">
        <v>21622.400000000001</v>
      </c>
      <c r="I75" s="163">
        <f t="shared" si="1"/>
        <v>-1.2430033958222397E-2</v>
      </c>
      <c r="K75" s="164" t="s">
        <v>260</v>
      </c>
      <c r="L75" s="164">
        <v>633.65</v>
      </c>
      <c r="M75" s="163">
        <f t="shared" si="2"/>
        <v>-1.4311270125223707E-2</v>
      </c>
      <c r="O75" s="164" t="s">
        <v>260</v>
      </c>
      <c r="P75" s="160">
        <v>236.53</v>
      </c>
      <c r="Q75" s="163">
        <f t="shared" si="3"/>
        <v>-8.5509494068826131E-3</v>
      </c>
      <c r="S75" s="164" t="s">
        <v>260</v>
      </c>
      <c r="T75" s="160">
        <v>551.15</v>
      </c>
      <c r="U75" s="163">
        <f t="shared" si="4"/>
        <v>1.0728039611223261E-2</v>
      </c>
      <c r="W75" s="164" t="s">
        <v>260</v>
      </c>
      <c r="X75" s="162">
        <v>13780.6</v>
      </c>
      <c r="Y75" s="163">
        <f t="shared" si="5"/>
        <v>-1.3688237420241389E-2</v>
      </c>
      <c r="AA75" s="164" t="s">
        <v>260</v>
      </c>
      <c r="AB75" s="164">
        <v>324.33999999999997</v>
      </c>
      <c r="AC75" s="163">
        <f t="shared" si="6"/>
        <v>-7.6490025700648445E-3</v>
      </c>
    </row>
    <row r="76" spans="3:29">
      <c r="C76" s="165">
        <v>45474</v>
      </c>
      <c r="D76" s="164">
        <v>548.29999999999995</v>
      </c>
      <c r="E76" s="163">
        <f t="shared" si="0"/>
        <v>-4.9001814882033701E-3</v>
      </c>
      <c r="G76" s="161">
        <v>45298</v>
      </c>
      <c r="H76" s="162">
        <v>21894.55</v>
      </c>
      <c r="I76" s="163">
        <f t="shared" si="1"/>
        <v>8.4635296718684749E-3</v>
      </c>
      <c r="K76" s="165">
        <v>45474</v>
      </c>
      <c r="L76" s="164">
        <v>642.85</v>
      </c>
      <c r="M76" s="163">
        <f t="shared" si="2"/>
        <v>1.7167721518987378E-2</v>
      </c>
      <c r="O76" s="165">
        <v>45474</v>
      </c>
      <c r="P76" s="160">
        <v>238.57</v>
      </c>
      <c r="Q76" s="163">
        <f t="shared" si="3"/>
        <v>-4.9217935349322728E-3</v>
      </c>
      <c r="S76" s="165">
        <v>45474</v>
      </c>
      <c r="T76" s="160">
        <v>545.29999999999995</v>
      </c>
      <c r="U76" s="163">
        <f t="shared" si="4"/>
        <v>0.21083601643166405</v>
      </c>
      <c r="W76" s="165">
        <v>45474</v>
      </c>
      <c r="X76" s="162">
        <v>13971.85</v>
      </c>
      <c r="Y76" s="163">
        <f t="shared" si="5"/>
        <v>-3.1823630908246803E-2</v>
      </c>
      <c r="AA76" s="165">
        <v>45474</v>
      </c>
      <c r="AB76" s="164">
        <v>326.83999999999997</v>
      </c>
      <c r="AC76" s="163">
        <f t="shared" si="6"/>
        <v>-3.3846699577285921E-2</v>
      </c>
    </row>
    <row r="77" spans="3:29">
      <c r="C77" s="164" t="s">
        <v>261</v>
      </c>
      <c r="D77" s="164">
        <v>551</v>
      </c>
      <c r="E77" s="163">
        <f t="shared" ref="E77:E140" si="7">D77/D78-1</f>
        <v>-1.6773733047822925E-2</v>
      </c>
      <c r="G77" s="161">
        <v>45291</v>
      </c>
      <c r="H77" s="162">
        <v>21710.799999999999</v>
      </c>
      <c r="I77" s="163">
        <f t="shared" ref="I77:I140" si="8">H77/H78-1</f>
        <v>-9.479370864280412E-4</v>
      </c>
      <c r="K77" s="164" t="s">
        <v>261</v>
      </c>
      <c r="L77" s="164">
        <v>632</v>
      </c>
      <c r="M77" s="163">
        <f t="shared" ref="M77:M140" si="9">L77/L78-1</f>
        <v>-1.8252427184466069E-2</v>
      </c>
      <c r="O77" s="164" t="s">
        <v>261</v>
      </c>
      <c r="P77" s="160">
        <v>239.75</v>
      </c>
      <c r="Q77" s="163">
        <f t="shared" ref="Q77:Q140" si="10">P77/P78-1</f>
        <v>7.2227191413237968E-2</v>
      </c>
      <c r="S77" s="164" t="s">
        <v>261</v>
      </c>
      <c r="T77" s="160">
        <v>450.35</v>
      </c>
      <c r="U77" s="163">
        <f t="shared" ref="U77:U140" si="11">T77/T78-1</f>
        <v>7.2134269729794198E-2</v>
      </c>
      <c r="W77" s="164" t="s">
        <v>261</v>
      </c>
      <c r="X77" s="162">
        <v>14431.1</v>
      </c>
      <c r="Y77" s="163">
        <f t="shared" ref="Y77:Y140" si="12">X77/X78-1</f>
        <v>8.4315441864309282E-2</v>
      </c>
      <c r="AA77" s="164" t="s">
        <v>261</v>
      </c>
      <c r="AB77" s="164">
        <v>338.29</v>
      </c>
      <c r="AC77" s="163">
        <f t="shared" ref="AC77:AC140" si="13">AB77/AB78-1</f>
        <v>6.1566831241448572E-3</v>
      </c>
    </row>
    <row r="78" spans="3:29">
      <c r="C78" s="164" t="s">
        <v>262</v>
      </c>
      <c r="D78" s="164">
        <v>560.4</v>
      </c>
      <c r="E78" s="163">
        <f t="shared" si="7"/>
        <v>1.073135539724035E-2</v>
      </c>
      <c r="G78" s="161">
        <v>45284</v>
      </c>
      <c r="H78" s="162">
        <v>21731.4</v>
      </c>
      <c r="I78" s="163">
        <f t="shared" si="8"/>
        <v>1.7892774504201459E-2</v>
      </c>
      <c r="K78" s="164" t="s">
        <v>262</v>
      </c>
      <c r="L78" s="164">
        <v>643.75</v>
      </c>
      <c r="M78" s="163">
        <f t="shared" si="9"/>
        <v>2.0853155724706696E-2</v>
      </c>
      <c r="O78" s="164" t="s">
        <v>262</v>
      </c>
      <c r="P78" s="160">
        <v>223.6</v>
      </c>
      <c r="Q78" s="163">
        <f t="shared" si="10"/>
        <v>-2.5920278806360386E-2</v>
      </c>
      <c r="S78" s="164" t="s">
        <v>262</v>
      </c>
      <c r="T78" s="160">
        <v>420.05</v>
      </c>
      <c r="U78" s="163">
        <f t="shared" si="11"/>
        <v>5.5136900276312462E-2</v>
      </c>
      <c r="W78" s="164" t="s">
        <v>262</v>
      </c>
      <c r="X78" s="162">
        <v>13308.95</v>
      </c>
      <c r="Y78" s="163">
        <f t="shared" si="12"/>
        <v>-5.0435756661208586E-2</v>
      </c>
      <c r="AA78" s="164" t="s">
        <v>262</v>
      </c>
      <c r="AB78" s="164">
        <v>336.22</v>
      </c>
      <c r="AC78" s="163">
        <f t="shared" si="13"/>
        <v>5.7195862025595234E-2</v>
      </c>
    </row>
    <row r="79" spans="3:29">
      <c r="C79" s="164" t="s">
        <v>263</v>
      </c>
      <c r="D79" s="164">
        <v>554.45000000000005</v>
      </c>
      <c r="E79" s="163">
        <f t="shared" si="7"/>
        <v>-3.5942133165602907E-3</v>
      </c>
      <c r="G79" s="161">
        <v>45277</v>
      </c>
      <c r="H79" s="162">
        <v>21349.4</v>
      </c>
      <c r="I79" s="163">
        <f t="shared" si="8"/>
        <v>-4.9984503638732525E-3</v>
      </c>
      <c r="K79" s="164" t="s">
        <v>263</v>
      </c>
      <c r="L79" s="164">
        <v>630.6</v>
      </c>
      <c r="M79" s="163">
        <f t="shared" si="9"/>
        <v>-1.4148362385679625E-2</v>
      </c>
      <c r="O79" s="164" t="s">
        <v>263</v>
      </c>
      <c r="P79" s="160">
        <v>229.55</v>
      </c>
      <c r="Q79" s="163">
        <f t="shared" si="10"/>
        <v>6.8424053686564346E-3</v>
      </c>
      <c r="S79" s="164" t="s">
        <v>263</v>
      </c>
      <c r="T79" s="160">
        <v>398.1</v>
      </c>
      <c r="U79" s="163">
        <f t="shared" si="11"/>
        <v>-1.1290929619871548E-3</v>
      </c>
      <c r="W79" s="164" t="s">
        <v>263</v>
      </c>
      <c r="X79" s="162">
        <v>14015.85</v>
      </c>
      <c r="Y79" s="163">
        <f t="shared" si="12"/>
        <v>-1.3281002499207939E-2</v>
      </c>
      <c r="AA79" s="164" t="s">
        <v>263</v>
      </c>
      <c r="AB79" s="164">
        <v>318.02999999999997</v>
      </c>
      <c r="AC79" s="163">
        <f t="shared" si="13"/>
        <v>8.7863985281988466E-3</v>
      </c>
    </row>
    <row r="80" spans="3:29">
      <c r="C80" s="165">
        <v>45211</v>
      </c>
      <c r="D80" s="164">
        <v>556.45000000000005</v>
      </c>
      <c r="E80" s="163">
        <f t="shared" si="7"/>
        <v>1.7834278397658609E-2</v>
      </c>
      <c r="G80" s="161">
        <v>45270</v>
      </c>
      <c r="H80" s="162">
        <v>21456.65</v>
      </c>
      <c r="I80" s="163">
        <f t="shared" si="8"/>
        <v>2.3236239472755438E-2</v>
      </c>
      <c r="K80" s="165">
        <v>45211</v>
      </c>
      <c r="L80" s="164">
        <v>639.65</v>
      </c>
      <c r="M80" s="163">
        <f t="shared" si="9"/>
        <v>-1.6679477325134529E-2</v>
      </c>
      <c r="O80" s="165">
        <v>45211</v>
      </c>
      <c r="P80" s="160">
        <v>227.99</v>
      </c>
      <c r="Q80" s="163">
        <f t="shared" si="10"/>
        <v>-1.3329294153286764E-2</v>
      </c>
      <c r="S80" s="165">
        <v>45211</v>
      </c>
      <c r="T80" s="160">
        <v>398.55</v>
      </c>
      <c r="U80" s="163">
        <f t="shared" si="11"/>
        <v>-8.2120194102277555E-3</v>
      </c>
      <c r="W80" s="165">
        <v>45211</v>
      </c>
      <c r="X80" s="162">
        <v>14204.5</v>
      </c>
      <c r="Y80" s="163">
        <f t="shared" si="12"/>
        <v>1.1399561391017166E-2</v>
      </c>
      <c r="AA80" s="165">
        <v>45211</v>
      </c>
      <c r="AB80" s="164">
        <v>315.26</v>
      </c>
      <c r="AC80" s="163">
        <f t="shared" si="13"/>
        <v>1.1778298404955256E-2</v>
      </c>
    </row>
    <row r="81" spans="3:29">
      <c r="C81" s="165">
        <v>44997</v>
      </c>
      <c r="D81" s="164">
        <v>546.70000000000005</v>
      </c>
      <c r="E81" s="163">
        <f t="shared" si="7"/>
        <v>1.4473928372610967E-2</v>
      </c>
      <c r="G81" s="161">
        <v>45263</v>
      </c>
      <c r="H81" s="162">
        <v>20969.400000000001</v>
      </c>
      <c r="I81" s="163">
        <f t="shared" si="8"/>
        <v>3.4611380557433069E-2</v>
      </c>
      <c r="K81" s="165">
        <v>44997</v>
      </c>
      <c r="L81" s="164">
        <v>650.5</v>
      </c>
      <c r="M81" s="163">
        <f t="shared" si="9"/>
        <v>-1.0646387832699666E-2</v>
      </c>
      <c r="O81" s="165">
        <v>44997</v>
      </c>
      <c r="P81" s="160">
        <v>231.07</v>
      </c>
      <c r="Q81" s="163">
        <f t="shared" si="10"/>
        <v>-5.2486980768442271E-2</v>
      </c>
      <c r="S81" s="165">
        <v>44997</v>
      </c>
      <c r="T81" s="160">
        <v>401.85</v>
      </c>
      <c r="U81" s="163">
        <f t="shared" si="11"/>
        <v>1.4644615578841114E-2</v>
      </c>
      <c r="W81" s="165">
        <v>44997</v>
      </c>
      <c r="X81" s="162">
        <v>14044.4</v>
      </c>
      <c r="Y81" s="163">
        <f t="shared" si="12"/>
        <v>-6.3022673218115832E-2</v>
      </c>
      <c r="AA81" s="165">
        <v>44997</v>
      </c>
      <c r="AB81" s="164">
        <v>311.58999999999997</v>
      </c>
      <c r="AC81" s="163">
        <f t="shared" si="13"/>
        <v>9.8852660919166446E-3</v>
      </c>
    </row>
    <row r="82" spans="3:29">
      <c r="C82" s="164" t="s">
        <v>264</v>
      </c>
      <c r="D82" s="164">
        <v>538.9</v>
      </c>
      <c r="E82" s="163">
        <f t="shared" si="7"/>
        <v>-4.5257227302115677E-3</v>
      </c>
      <c r="G82" s="161">
        <v>45256</v>
      </c>
      <c r="H82" s="162">
        <v>20267.900000000001</v>
      </c>
      <c r="I82" s="163">
        <f t="shared" si="8"/>
        <v>2.3905388816198414E-2</v>
      </c>
      <c r="K82" s="164" t="s">
        <v>264</v>
      </c>
      <c r="L82" s="164">
        <v>657.5</v>
      </c>
      <c r="M82" s="163">
        <f t="shared" si="9"/>
        <v>4.5559354377037398E-2</v>
      </c>
      <c r="O82" s="164" t="s">
        <v>264</v>
      </c>
      <c r="P82" s="160">
        <v>243.87</v>
      </c>
      <c r="Q82" s="163">
        <f t="shared" si="10"/>
        <v>-5.7079952705182402E-3</v>
      </c>
      <c r="S82" s="164" t="s">
        <v>264</v>
      </c>
      <c r="T82" s="160">
        <v>396.05</v>
      </c>
      <c r="U82" s="163">
        <f t="shared" si="11"/>
        <v>-8.829465186679375E-4</v>
      </c>
      <c r="W82" s="164" t="s">
        <v>264</v>
      </c>
      <c r="X82" s="162">
        <v>14989.05</v>
      </c>
      <c r="Y82" s="163">
        <f t="shared" si="12"/>
        <v>-6.0421426758060504E-2</v>
      </c>
      <c r="AA82" s="164" t="s">
        <v>264</v>
      </c>
      <c r="AB82" s="164">
        <v>308.54000000000002</v>
      </c>
      <c r="AC82" s="163">
        <f t="shared" si="13"/>
        <v>-3.7777275515803455E-3</v>
      </c>
    </row>
    <row r="83" spans="3:29">
      <c r="C83" s="164" t="s">
        <v>265</v>
      </c>
      <c r="D83" s="164">
        <v>541.35</v>
      </c>
      <c r="E83" s="163">
        <f t="shared" si="7"/>
        <v>5.4791976225854189E-3</v>
      </c>
      <c r="G83" s="161">
        <v>45249</v>
      </c>
      <c r="H83" s="162">
        <v>19794.7</v>
      </c>
      <c r="I83" s="163">
        <f t="shared" si="8"/>
        <v>3.1877476966115648E-3</v>
      </c>
      <c r="K83" s="164" t="s">
        <v>265</v>
      </c>
      <c r="L83" s="164">
        <v>628.85</v>
      </c>
      <c r="M83" s="163">
        <f t="shared" si="9"/>
        <v>2.9505582137161479E-3</v>
      </c>
      <c r="O83" s="164" t="s">
        <v>265</v>
      </c>
      <c r="P83" s="160">
        <v>245.27</v>
      </c>
      <c r="Q83" s="163">
        <f t="shared" si="10"/>
        <v>-7.6161060680251635E-2</v>
      </c>
      <c r="S83" s="164" t="s">
        <v>265</v>
      </c>
      <c r="T83" s="160">
        <v>396.4</v>
      </c>
      <c r="U83" s="163">
        <f t="shared" si="11"/>
        <v>1.4329580348003912E-2</v>
      </c>
      <c r="W83" s="164" t="s">
        <v>265</v>
      </c>
      <c r="X83" s="162">
        <v>15952.95</v>
      </c>
      <c r="Y83" s="163">
        <f t="shared" si="12"/>
        <v>-5.1138294787324012E-3</v>
      </c>
      <c r="AA83" s="164" t="s">
        <v>265</v>
      </c>
      <c r="AB83" s="164">
        <v>309.70999999999998</v>
      </c>
      <c r="AC83" s="163">
        <f t="shared" si="13"/>
        <v>5.1687934097865984E-4</v>
      </c>
    </row>
    <row r="84" spans="3:29">
      <c r="C84" s="165">
        <v>45271</v>
      </c>
      <c r="D84" s="164">
        <v>538.4</v>
      </c>
      <c r="E84" s="163">
        <f t="shared" si="7"/>
        <v>1.3935969868173137E-2</v>
      </c>
      <c r="G84" s="161">
        <v>45242</v>
      </c>
      <c r="H84" s="162">
        <v>19731.8</v>
      </c>
      <c r="I84" s="163">
        <f t="shared" si="8"/>
        <v>1.5775777527818002E-2</v>
      </c>
      <c r="K84" s="165">
        <v>45271</v>
      </c>
      <c r="L84" s="164">
        <v>627</v>
      </c>
      <c r="M84" s="163">
        <f t="shared" si="9"/>
        <v>2.2378516624039779E-3</v>
      </c>
      <c r="O84" s="165">
        <v>45271</v>
      </c>
      <c r="P84" s="160">
        <v>265.49</v>
      </c>
      <c r="Q84" s="163">
        <f t="shared" si="10"/>
        <v>9.0397568588795885E-2</v>
      </c>
      <c r="S84" s="165">
        <v>45271</v>
      </c>
      <c r="T84" s="160">
        <v>390.8</v>
      </c>
      <c r="U84" s="163">
        <f t="shared" si="11"/>
        <v>-1.2757357584943785E-2</v>
      </c>
      <c r="W84" s="165">
        <v>45271</v>
      </c>
      <c r="X84" s="162">
        <v>16034.95</v>
      </c>
      <c r="Y84" s="163">
        <f t="shared" si="12"/>
        <v>2.3129759546210105E-2</v>
      </c>
      <c r="AA84" s="165">
        <v>45271</v>
      </c>
      <c r="AB84" s="164">
        <v>309.55</v>
      </c>
      <c r="AC84" s="163">
        <f t="shared" si="13"/>
        <v>1.0445568793863158E-2</v>
      </c>
    </row>
    <row r="85" spans="3:29">
      <c r="C85" s="165">
        <v>45057</v>
      </c>
      <c r="D85" s="164">
        <v>531</v>
      </c>
      <c r="E85" s="163">
        <f t="shared" si="7"/>
        <v>2.4700887688151152E-2</v>
      </c>
      <c r="G85" s="161">
        <v>45235</v>
      </c>
      <c r="H85" s="162">
        <v>19425.349999999999</v>
      </c>
      <c r="I85" s="163">
        <f t="shared" si="8"/>
        <v>1.0127089118384225E-2</v>
      </c>
      <c r="K85" s="165">
        <v>45057</v>
      </c>
      <c r="L85" s="164">
        <v>625.6</v>
      </c>
      <c r="M85" s="163">
        <f t="shared" si="9"/>
        <v>2.4398231537579695E-2</v>
      </c>
      <c r="O85" s="165">
        <v>45057</v>
      </c>
      <c r="P85" s="160">
        <v>243.48</v>
      </c>
      <c r="Q85" s="163">
        <f t="shared" si="10"/>
        <v>7.0382907636171721E-2</v>
      </c>
      <c r="S85" s="165">
        <v>45057</v>
      </c>
      <c r="T85" s="160">
        <v>395.85</v>
      </c>
      <c r="U85" s="163">
        <f t="shared" si="11"/>
        <v>-2.7992633517495369E-2</v>
      </c>
      <c r="W85" s="165">
        <v>45057</v>
      </c>
      <c r="X85" s="162">
        <v>15672.45</v>
      </c>
      <c r="Y85" s="163">
        <f t="shared" si="12"/>
        <v>-4.3105422063748344E-2</v>
      </c>
      <c r="AA85" s="165">
        <v>45057</v>
      </c>
      <c r="AB85" s="164">
        <v>306.35000000000002</v>
      </c>
      <c r="AC85" s="163">
        <f t="shared" si="13"/>
        <v>-7.4518062530373186E-3</v>
      </c>
    </row>
    <row r="86" spans="3:29">
      <c r="C86" s="164" t="s">
        <v>266</v>
      </c>
      <c r="D86" s="164">
        <v>518.20000000000005</v>
      </c>
      <c r="E86" s="163">
        <f t="shared" si="7"/>
        <v>-9.4619134091559198E-3</v>
      </c>
      <c r="G86" s="161">
        <v>45228</v>
      </c>
      <c r="H86" s="162">
        <v>19230.599999999999</v>
      </c>
      <c r="I86" s="163">
        <f t="shared" si="8"/>
        <v>9.6260615049414966E-3</v>
      </c>
      <c r="K86" s="164" t="s">
        <v>266</v>
      </c>
      <c r="L86" s="164">
        <v>610.70000000000005</v>
      </c>
      <c r="M86" s="163">
        <f t="shared" si="9"/>
        <v>-2.0214984758543109E-2</v>
      </c>
      <c r="O86" s="164" t="s">
        <v>266</v>
      </c>
      <c r="P86" s="160">
        <v>227.47</v>
      </c>
      <c r="Q86" s="163">
        <f t="shared" si="10"/>
        <v>3.8296512689428353E-2</v>
      </c>
      <c r="S86" s="164" t="s">
        <v>266</v>
      </c>
      <c r="T86" s="160">
        <v>407.25</v>
      </c>
      <c r="U86" s="163">
        <f t="shared" si="11"/>
        <v>-2.4548913710575881E-4</v>
      </c>
      <c r="W86" s="164" t="s">
        <v>266</v>
      </c>
      <c r="X86" s="162">
        <v>16378.45</v>
      </c>
      <c r="Y86" s="163">
        <f t="shared" si="12"/>
        <v>1.4088998136326802E-2</v>
      </c>
      <c r="AA86" s="164" t="s">
        <v>266</v>
      </c>
      <c r="AB86" s="164">
        <v>308.64999999999998</v>
      </c>
      <c r="AC86" s="163">
        <f t="shared" si="13"/>
        <v>-5.2533195823127876E-3</v>
      </c>
    </row>
    <row r="87" spans="3:29">
      <c r="C87" s="164" t="s">
        <v>267</v>
      </c>
      <c r="D87" s="164">
        <v>523.15</v>
      </c>
      <c r="E87" s="163">
        <f t="shared" si="7"/>
        <v>-2.886578800816797E-2</v>
      </c>
      <c r="G87" s="161">
        <v>45221</v>
      </c>
      <c r="H87" s="162">
        <v>19047.25</v>
      </c>
      <c r="I87" s="163">
        <f t="shared" si="8"/>
        <v>-2.5349683896503383E-2</v>
      </c>
      <c r="K87" s="164" t="s">
        <v>267</v>
      </c>
      <c r="L87" s="164">
        <v>623.29999999999995</v>
      </c>
      <c r="M87" s="163">
        <f t="shared" si="9"/>
        <v>-1.0006353240152532E-2</v>
      </c>
      <c r="O87" s="164" t="s">
        <v>267</v>
      </c>
      <c r="P87" s="160">
        <v>219.08</v>
      </c>
      <c r="Q87" s="163">
        <f t="shared" si="10"/>
        <v>-4.5278249880158605E-2</v>
      </c>
      <c r="S87" s="164" t="s">
        <v>267</v>
      </c>
      <c r="T87" s="160">
        <v>407.35</v>
      </c>
      <c r="U87" s="163">
        <f t="shared" si="11"/>
        <v>-2.6410133843212114E-2</v>
      </c>
      <c r="W87" s="164" t="s">
        <v>267</v>
      </c>
      <c r="X87" s="162">
        <v>16150.9</v>
      </c>
      <c r="Y87" s="163">
        <f t="shared" si="12"/>
        <v>-3.4683704695419371E-2</v>
      </c>
      <c r="AA87" s="164" t="s">
        <v>267</v>
      </c>
      <c r="AB87" s="164">
        <v>310.27999999999997</v>
      </c>
      <c r="AC87" s="163">
        <f t="shared" si="13"/>
        <v>-1.052363033356718E-2</v>
      </c>
    </row>
    <row r="88" spans="3:29">
      <c r="C88" s="164" t="s">
        <v>268</v>
      </c>
      <c r="D88" s="164">
        <v>538.70000000000005</v>
      </c>
      <c r="E88" s="163">
        <f t="shared" si="7"/>
        <v>-1.9453450671605976E-3</v>
      </c>
      <c r="G88" s="161">
        <v>45214</v>
      </c>
      <c r="H88" s="162">
        <v>19542.650000000001</v>
      </c>
      <c r="I88" s="163">
        <f t="shared" si="8"/>
        <v>-1.0551337776978809E-2</v>
      </c>
      <c r="K88" s="164" t="s">
        <v>268</v>
      </c>
      <c r="L88" s="164">
        <v>629.6</v>
      </c>
      <c r="M88" s="163">
        <f t="shared" si="9"/>
        <v>-4.4177926218308849E-2</v>
      </c>
      <c r="O88" s="164" t="s">
        <v>268</v>
      </c>
      <c r="P88" s="160">
        <v>229.47</v>
      </c>
      <c r="Q88" s="163">
        <f t="shared" si="10"/>
        <v>-8.8545266067726613E-3</v>
      </c>
      <c r="S88" s="164" t="s">
        <v>268</v>
      </c>
      <c r="T88" s="160">
        <v>418.4</v>
      </c>
      <c r="U88" s="163">
        <f t="shared" si="11"/>
        <v>-3.2712981158247723E-2</v>
      </c>
      <c r="W88" s="164" t="s">
        <v>268</v>
      </c>
      <c r="X88" s="162">
        <v>16731.2</v>
      </c>
      <c r="Y88" s="163">
        <f t="shared" si="12"/>
        <v>-3.8268202184865707E-2</v>
      </c>
      <c r="AA88" s="164" t="s">
        <v>268</v>
      </c>
      <c r="AB88" s="164">
        <v>313.58</v>
      </c>
      <c r="AC88" s="163">
        <f t="shared" si="13"/>
        <v>3.1670878786909107E-3</v>
      </c>
    </row>
    <row r="89" spans="3:29">
      <c r="C89" s="165">
        <v>45148</v>
      </c>
      <c r="D89" s="164">
        <v>539.75</v>
      </c>
      <c r="E89" s="163">
        <f t="shared" si="7"/>
        <v>-1.5723270440252124E-3</v>
      </c>
      <c r="G89" s="161">
        <v>45207</v>
      </c>
      <c r="H89" s="162">
        <v>19751.05</v>
      </c>
      <c r="I89" s="163">
        <f t="shared" si="8"/>
        <v>4.9634925076957881E-3</v>
      </c>
      <c r="K89" s="165">
        <v>45148</v>
      </c>
      <c r="L89" s="164">
        <v>658.7</v>
      </c>
      <c r="M89" s="163">
        <f t="shared" si="9"/>
        <v>1.8477000386548204E-2</v>
      </c>
      <c r="O89" s="165">
        <v>45148</v>
      </c>
      <c r="P89" s="160">
        <v>231.52</v>
      </c>
      <c r="Q89" s="163">
        <f t="shared" si="10"/>
        <v>0.11489935471443702</v>
      </c>
      <c r="S89" s="165">
        <v>45148</v>
      </c>
      <c r="T89" s="160">
        <v>432.55</v>
      </c>
      <c r="U89" s="163">
        <f t="shared" si="11"/>
        <v>-2.9721848362494363E-2</v>
      </c>
      <c r="W89" s="165">
        <v>45148</v>
      </c>
      <c r="X89" s="162">
        <v>17396.95</v>
      </c>
      <c r="Y89" s="163">
        <f t="shared" si="12"/>
        <v>4.853330279597623E-2</v>
      </c>
      <c r="AA89" s="165">
        <v>45148</v>
      </c>
      <c r="AB89" s="164">
        <v>312.58999999999997</v>
      </c>
      <c r="AC89" s="163">
        <f t="shared" si="13"/>
        <v>2.0837340514201497E-3</v>
      </c>
    </row>
    <row r="90" spans="3:29">
      <c r="C90" s="165">
        <v>44936</v>
      </c>
      <c r="D90" s="164">
        <v>540.6</v>
      </c>
      <c r="E90" s="163">
        <f t="shared" si="7"/>
        <v>9.9953292853807163E-3</v>
      </c>
      <c r="G90" s="161">
        <v>45200</v>
      </c>
      <c r="H90" s="162">
        <v>19653.5</v>
      </c>
      <c r="I90" s="163">
        <f t="shared" si="8"/>
        <v>7.7399774929598486E-4</v>
      </c>
      <c r="K90" s="165">
        <v>44936</v>
      </c>
      <c r="L90" s="164">
        <v>646.75</v>
      </c>
      <c r="M90" s="163">
        <f t="shared" si="9"/>
        <v>1.6261421712868707E-3</v>
      </c>
      <c r="O90" s="165">
        <v>44936</v>
      </c>
      <c r="P90" s="160">
        <v>207.66</v>
      </c>
      <c r="Q90" s="163">
        <f t="shared" si="10"/>
        <v>-4.2198139445669414E-3</v>
      </c>
      <c r="S90" s="165">
        <v>44936</v>
      </c>
      <c r="T90" s="160">
        <v>445.8</v>
      </c>
      <c r="U90" s="163">
        <f t="shared" si="11"/>
        <v>1.0197144799456215E-2</v>
      </c>
      <c r="W90" s="165">
        <v>44936</v>
      </c>
      <c r="X90" s="162">
        <v>16591.7</v>
      </c>
      <c r="Y90" s="163">
        <f t="shared" si="12"/>
        <v>1.6679432580655185E-2</v>
      </c>
      <c r="AA90" s="165">
        <v>44936</v>
      </c>
      <c r="AB90" s="164">
        <v>311.94</v>
      </c>
      <c r="AC90" s="163">
        <f t="shared" si="13"/>
        <v>-4.9443363424670483E-3</v>
      </c>
    </row>
    <row r="91" spans="3:29">
      <c r="C91" s="164" t="s">
        <v>269</v>
      </c>
      <c r="D91" s="164">
        <v>535.25</v>
      </c>
      <c r="E91" s="163">
        <f t="shared" si="7"/>
        <v>-0.13501939237233351</v>
      </c>
      <c r="G91" s="161">
        <v>45193</v>
      </c>
      <c r="H91" s="162">
        <v>19638.3</v>
      </c>
      <c r="I91" s="163">
        <f t="shared" si="8"/>
        <v>-1.8272615220402688E-3</v>
      </c>
      <c r="K91" s="164" t="s">
        <v>269</v>
      </c>
      <c r="L91" s="164">
        <v>645.70000000000005</v>
      </c>
      <c r="M91" s="163">
        <f t="shared" si="9"/>
        <v>4.2292171105730469E-2</v>
      </c>
      <c r="O91" s="164" t="s">
        <v>269</v>
      </c>
      <c r="P91" s="160">
        <v>208.54</v>
      </c>
      <c r="Q91" s="163">
        <f t="shared" si="10"/>
        <v>5.435057384094244E-2</v>
      </c>
      <c r="S91" s="164" t="s">
        <v>269</v>
      </c>
      <c r="T91" s="160">
        <v>441.3</v>
      </c>
      <c r="U91" s="163">
        <f t="shared" si="11"/>
        <v>1.355075792374838E-2</v>
      </c>
      <c r="W91" s="164" t="s">
        <v>269</v>
      </c>
      <c r="X91" s="162">
        <v>16319.5</v>
      </c>
      <c r="Y91" s="163">
        <f t="shared" si="12"/>
        <v>1.1212283631429232E-2</v>
      </c>
      <c r="AA91" s="164" t="s">
        <v>269</v>
      </c>
      <c r="AB91" s="164">
        <v>313.49</v>
      </c>
      <c r="AC91" s="163">
        <f t="shared" si="13"/>
        <v>-2.0619200849760877E-2</v>
      </c>
    </row>
    <row r="92" spans="3:29">
      <c r="C92" s="164" t="s">
        <v>270</v>
      </c>
      <c r="D92" s="164">
        <v>618.79999999999995</v>
      </c>
      <c r="E92" s="163">
        <f t="shared" si="7"/>
        <v>0.12878511492156131</v>
      </c>
      <c r="G92" s="161">
        <v>45186</v>
      </c>
      <c r="H92" s="162">
        <v>19674.25</v>
      </c>
      <c r="I92" s="163">
        <f t="shared" si="8"/>
        <v>-2.5658231954180599E-2</v>
      </c>
      <c r="K92" s="164" t="s">
        <v>270</v>
      </c>
      <c r="L92" s="164">
        <v>619.5</v>
      </c>
      <c r="M92" s="163">
        <f t="shared" si="9"/>
        <v>-8.0587711487088098E-2</v>
      </c>
      <c r="O92" s="164" t="s">
        <v>270</v>
      </c>
      <c r="P92" s="160">
        <v>197.79</v>
      </c>
      <c r="Q92" s="163">
        <f t="shared" si="10"/>
        <v>4.3141184536680477E-2</v>
      </c>
      <c r="S92" s="164" t="s">
        <v>270</v>
      </c>
      <c r="T92" s="160">
        <v>435.4</v>
      </c>
      <c r="U92" s="163">
        <f t="shared" si="11"/>
        <v>-4.3707445640237319E-2</v>
      </c>
      <c r="W92" s="164" t="s">
        <v>270</v>
      </c>
      <c r="X92" s="162">
        <v>16138.55</v>
      </c>
      <c r="Y92" s="163">
        <f t="shared" si="12"/>
        <v>-5.4232107256317885E-3</v>
      </c>
      <c r="AA92" s="164" t="s">
        <v>270</v>
      </c>
      <c r="AB92" s="164">
        <v>320.08999999999997</v>
      </c>
      <c r="AC92" s="163">
        <f t="shared" si="13"/>
        <v>-9.4386334096676627E-3</v>
      </c>
    </row>
    <row r="93" spans="3:29">
      <c r="C93" s="165">
        <v>45208</v>
      </c>
      <c r="D93" s="164">
        <v>548.20000000000005</v>
      </c>
      <c r="E93" s="163">
        <f t="shared" si="7"/>
        <v>6.2408223201175783E-3</v>
      </c>
      <c r="G93" s="161">
        <v>45179</v>
      </c>
      <c r="H93" s="162">
        <v>20192.349999999999</v>
      </c>
      <c r="I93" s="163">
        <f t="shared" si="8"/>
        <v>1.8789149316723597E-2</v>
      </c>
      <c r="K93" s="165">
        <v>45208</v>
      </c>
      <c r="L93" s="164">
        <v>673.8</v>
      </c>
      <c r="M93" s="163">
        <f t="shared" si="9"/>
        <v>4.4543429844101645E-4</v>
      </c>
      <c r="O93" s="165">
        <v>45208</v>
      </c>
      <c r="P93" s="160">
        <v>189.61</v>
      </c>
      <c r="Q93" s="163">
        <f t="shared" si="10"/>
        <v>-0.10468410614788926</v>
      </c>
      <c r="S93" s="165">
        <v>45208</v>
      </c>
      <c r="T93" s="160">
        <v>455.3</v>
      </c>
      <c r="U93" s="163">
        <f t="shared" si="11"/>
        <v>3.0090497737556676E-2</v>
      </c>
      <c r="W93" s="165">
        <v>45208</v>
      </c>
      <c r="X93" s="162">
        <v>16226.55</v>
      </c>
      <c r="Y93" s="163">
        <f t="shared" si="12"/>
        <v>-1.0555103310131764E-2</v>
      </c>
      <c r="AA93" s="165">
        <v>45208</v>
      </c>
      <c r="AB93" s="164">
        <v>323.14</v>
      </c>
      <c r="AC93" s="163">
        <f t="shared" si="13"/>
        <v>8.3629782188103796E-3</v>
      </c>
    </row>
    <row r="94" spans="3:29">
      <c r="C94" s="165">
        <v>44994</v>
      </c>
      <c r="D94" s="164">
        <v>544.79999999999995</v>
      </c>
      <c r="E94" s="163">
        <f t="shared" si="7"/>
        <v>-8.1019572143833374E-3</v>
      </c>
      <c r="G94" s="161">
        <v>45172</v>
      </c>
      <c r="H94" s="162">
        <v>19819.95</v>
      </c>
      <c r="I94" s="163">
        <f t="shared" si="8"/>
        <v>1.9791307569216876E-2</v>
      </c>
      <c r="K94" s="165">
        <v>44994</v>
      </c>
      <c r="L94" s="164">
        <v>673.5</v>
      </c>
      <c r="M94" s="163">
        <f t="shared" si="9"/>
        <v>0.11460488208522968</v>
      </c>
      <c r="O94" s="165">
        <v>44994</v>
      </c>
      <c r="P94" s="160">
        <v>211.78</v>
      </c>
      <c r="Q94" s="163">
        <f t="shared" si="10"/>
        <v>1.719500480307401E-2</v>
      </c>
      <c r="S94" s="165">
        <v>44994</v>
      </c>
      <c r="T94" s="160">
        <v>442</v>
      </c>
      <c r="U94" s="163">
        <f t="shared" si="11"/>
        <v>8.7869451101221241E-3</v>
      </c>
      <c r="W94" s="165">
        <v>44994</v>
      </c>
      <c r="X94" s="162">
        <v>16399.650000000001</v>
      </c>
      <c r="Y94" s="163">
        <f t="shared" si="12"/>
        <v>-3.0395388367452481E-2</v>
      </c>
      <c r="AA94" s="165">
        <v>44994</v>
      </c>
      <c r="AB94" s="164">
        <v>320.45999999999998</v>
      </c>
      <c r="AC94" s="163">
        <f t="shared" si="13"/>
        <v>-1.9070066423826915E-2</v>
      </c>
    </row>
    <row r="95" spans="3:29">
      <c r="C95" s="164" t="s">
        <v>271</v>
      </c>
      <c r="D95" s="164">
        <v>549.25</v>
      </c>
      <c r="E95" s="163">
        <f t="shared" si="7"/>
        <v>1.7412244141891131E-2</v>
      </c>
      <c r="G95" s="161">
        <v>45165</v>
      </c>
      <c r="H95" s="162">
        <v>19435.3</v>
      </c>
      <c r="I95" s="163">
        <f t="shared" si="8"/>
        <v>8.7979736112697715E-3</v>
      </c>
      <c r="K95" s="164" t="s">
        <v>271</v>
      </c>
      <c r="L95" s="164">
        <v>604.25</v>
      </c>
      <c r="M95" s="163">
        <f t="shared" si="9"/>
        <v>-4.5304777594727952E-3</v>
      </c>
      <c r="O95" s="164" t="s">
        <v>271</v>
      </c>
      <c r="P95" s="160">
        <v>208.2</v>
      </c>
      <c r="Q95" s="163">
        <f t="shared" si="10"/>
        <v>-9.9857346647647116E-3</v>
      </c>
      <c r="S95" s="164" t="s">
        <v>271</v>
      </c>
      <c r="T95" s="160">
        <v>438.15</v>
      </c>
      <c r="U95" s="163">
        <f t="shared" si="11"/>
        <v>2.9004227336777655E-2</v>
      </c>
      <c r="W95" s="164" t="s">
        <v>271</v>
      </c>
      <c r="X95" s="162">
        <v>16913.75</v>
      </c>
      <c r="Y95" s="163">
        <f t="shared" si="12"/>
        <v>-3.4928306106961737E-2</v>
      </c>
      <c r="AA95" s="164" t="s">
        <v>271</v>
      </c>
      <c r="AB95" s="164">
        <v>326.69</v>
      </c>
      <c r="AC95" s="163">
        <f t="shared" si="13"/>
        <v>1.142414860681118E-2</v>
      </c>
    </row>
    <row r="96" spans="3:29">
      <c r="C96" s="164" t="s">
        <v>272</v>
      </c>
      <c r="D96" s="164">
        <v>539.85</v>
      </c>
      <c r="E96" s="163">
        <f t="shared" si="7"/>
        <v>-7.9022328402094111E-3</v>
      </c>
      <c r="G96" s="161">
        <v>45158</v>
      </c>
      <c r="H96" s="162">
        <v>19265.8</v>
      </c>
      <c r="I96" s="163">
        <f t="shared" si="8"/>
        <v>-2.2967196008317758E-3</v>
      </c>
      <c r="K96" s="164" t="s">
        <v>272</v>
      </c>
      <c r="L96" s="164">
        <v>607</v>
      </c>
      <c r="M96" s="163">
        <f t="shared" si="9"/>
        <v>1.5675274317301646E-3</v>
      </c>
      <c r="O96" s="164" t="s">
        <v>272</v>
      </c>
      <c r="P96" s="160">
        <v>210.3</v>
      </c>
      <c r="Q96" s="163">
        <f t="shared" si="10"/>
        <v>-2.1814968138052948E-2</v>
      </c>
      <c r="S96" s="164" t="s">
        <v>272</v>
      </c>
      <c r="T96" s="160">
        <v>425.8</v>
      </c>
      <c r="U96" s="163">
        <f t="shared" si="11"/>
        <v>6.052303860523045E-2</v>
      </c>
      <c r="W96" s="164" t="s">
        <v>272</v>
      </c>
      <c r="X96" s="162">
        <v>17525.900000000001</v>
      </c>
      <c r="Y96" s="163">
        <f t="shared" si="12"/>
        <v>-2.3871452839121066E-2</v>
      </c>
      <c r="AA96" s="164" t="s">
        <v>272</v>
      </c>
      <c r="AB96" s="164">
        <v>323</v>
      </c>
      <c r="AC96" s="163">
        <f t="shared" si="13"/>
        <v>4.1935483870967794E-2</v>
      </c>
    </row>
    <row r="97" spans="3:29">
      <c r="C97" s="164" t="s">
        <v>273</v>
      </c>
      <c r="D97" s="164">
        <v>544.15</v>
      </c>
      <c r="E97" s="163">
        <f t="shared" si="7"/>
        <v>-5.1176983435047951E-2</v>
      </c>
      <c r="G97" s="161">
        <v>45151</v>
      </c>
      <c r="H97" s="162">
        <v>19310.150000000001</v>
      </c>
      <c r="I97" s="163">
        <f t="shared" si="8"/>
        <v>-6.0813349598265454E-3</v>
      </c>
      <c r="K97" s="164" t="s">
        <v>273</v>
      </c>
      <c r="L97" s="164">
        <v>606.04999999999995</v>
      </c>
      <c r="M97" s="163">
        <f t="shared" si="9"/>
        <v>1.8183320935611924E-3</v>
      </c>
      <c r="O97" s="164" t="s">
        <v>273</v>
      </c>
      <c r="P97" s="160">
        <v>214.99</v>
      </c>
      <c r="Q97" s="163">
        <f t="shared" si="10"/>
        <v>-1.4395085499472771E-2</v>
      </c>
      <c r="S97" s="164" t="s">
        <v>273</v>
      </c>
      <c r="T97" s="160">
        <v>401.5</v>
      </c>
      <c r="U97" s="163">
        <f t="shared" si="11"/>
        <v>-1.9775390625E-2</v>
      </c>
      <c r="W97" s="164" t="s">
        <v>273</v>
      </c>
      <c r="X97" s="162">
        <v>17954.5</v>
      </c>
      <c r="Y97" s="163">
        <f t="shared" si="12"/>
        <v>-4.4801029092944589E-3</v>
      </c>
      <c r="AA97" s="164" t="s">
        <v>273</v>
      </c>
      <c r="AB97" s="164">
        <v>310</v>
      </c>
      <c r="AC97" s="163">
        <f t="shared" si="13"/>
        <v>8.359626581660784E-3</v>
      </c>
    </row>
    <row r="98" spans="3:29">
      <c r="C98" s="165">
        <v>45085</v>
      </c>
      <c r="D98" s="164">
        <v>573.5</v>
      </c>
      <c r="E98" s="163">
        <f t="shared" si="7"/>
        <v>7.4659639877030504E-3</v>
      </c>
      <c r="G98" s="161">
        <v>45144</v>
      </c>
      <c r="H98" s="162">
        <v>19428.3</v>
      </c>
      <c r="I98" s="163">
        <f t="shared" si="8"/>
        <v>-4.5447558538710409E-3</v>
      </c>
      <c r="K98" s="165">
        <v>45085</v>
      </c>
      <c r="L98" s="164">
        <v>604.95000000000005</v>
      </c>
      <c r="M98" s="163">
        <f t="shared" si="9"/>
        <v>-1.9132549655451858E-2</v>
      </c>
      <c r="O98" s="165">
        <v>45085</v>
      </c>
      <c r="P98" s="160">
        <v>218.13</v>
      </c>
      <c r="Q98" s="163">
        <f t="shared" si="10"/>
        <v>0.21527661708173151</v>
      </c>
      <c r="S98" s="165">
        <v>45085</v>
      </c>
      <c r="T98" s="160">
        <v>409.6</v>
      </c>
      <c r="U98" s="163">
        <f t="shared" si="11"/>
        <v>2.0809968847351978E-2</v>
      </c>
      <c r="W98" s="165">
        <v>45085</v>
      </c>
      <c r="X98" s="162">
        <v>18035.3</v>
      </c>
      <c r="Y98" s="163">
        <f t="shared" si="12"/>
        <v>0.27926260089940547</v>
      </c>
      <c r="AA98" s="165">
        <v>45085</v>
      </c>
      <c r="AB98" s="164">
        <v>307.43</v>
      </c>
      <c r="AC98" s="163">
        <f t="shared" si="13"/>
        <v>7.4366590948803157E-2</v>
      </c>
    </row>
    <row r="99" spans="3:29">
      <c r="C99" s="164" t="s">
        <v>274</v>
      </c>
      <c r="D99" s="164">
        <v>569.25</v>
      </c>
      <c r="E99" s="163">
        <f t="shared" si="7"/>
        <v>6.1522235893840538E-4</v>
      </c>
      <c r="G99" s="161">
        <v>45137</v>
      </c>
      <c r="H99" s="162">
        <v>19517</v>
      </c>
      <c r="I99" s="163">
        <f t="shared" si="8"/>
        <v>-6.568750461288575E-3</v>
      </c>
      <c r="K99" s="164" t="s">
        <v>274</v>
      </c>
      <c r="L99" s="164">
        <v>616.75</v>
      </c>
      <c r="M99" s="163">
        <f t="shared" si="9"/>
        <v>7.1854331673062433E-3</v>
      </c>
      <c r="O99" s="164" t="s">
        <v>274</v>
      </c>
      <c r="P99" s="160">
        <v>179.49</v>
      </c>
      <c r="Q99" s="163">
        <f t="shared" si="10"/>
        <v>2.0061377585814943E-2</v>
      </c>
      <c r="S99" s="164" t="s">
        <v>274</v>
      </c>
      <c r="T99" s="160">
        <v>401.25</v>
      </c>
      <c r="U99" s="163">
        <f t="shared" si="11"/>
        <v>3.1250000000000444E-3</v>
      </c>
      <c r="W99" s="164" t="s">
        <v>274</v>
      </c>
      <c r="X99" s="162">
        <v>14098.2</v>
      </c>
      <c r="Y99" s="163">
        <f t="shared" si="12"/>
        <v>-1.6199883464116382E-2</v>
      </c>
      <c r="AA99" s="164" t="s">
        <v>274</v>
      </c>
      <c r="AB99" s="164">
        <v>286.14999999999998</v>
      </c>
      <c r="AC99" s="163">
        <f t="shared" si="13"/>
        <v>-2.6667573726997573E-2</v>
      </c>
    </row>
    <row r="100" spans="3:29">
      <c r="C100" s="164" t="s">
        <v>275</v>
      </c>
      <c r="D100" s="164">
        <v>568.9</v>
      </c>
      <c r="E100" s="163">
        <f t="shared" si="7"/>
        <v>-1.4123559483580239E-2</v>
      </c>
      <c r="G100" s="161">
        <v>45130</v>
      </c>
      <c r="H100" s="162">
        <v>19646.05</v>
      </c>
      <c r="I100" s="163">
        <f t="shared" si="8"/>
        <v>-5.0113952899468739E-3</v>
      </c>
      <c r="K100" s="164" t="s">
        <v>275</v>
      </c>
      <c r="L100" s="164">
        <v>612.35</v>
      </c>
      <c r="M100" s="163">
        <f t="shared" si="9"/>
        <v>-2.4221177595410648E-2</v>
      </c>
      <c r="O100" s="164" t="s">
        <v>275</v>
      </c>
      <c r="P100" s="160">
        <v>175.96</v>
      </c>
      <c r="Q100" s="163">
        <f t="shared" si="10"/>
        <v>4.7692765704078655E-2</v>
      </c>
      <c r="S100" s="164" t="s">
        <v>275</v>
      </c>
      <c r="T100" s="160">
        <v>400</v>
      </c>
      <c r="U100" s="163">
        <f t="shared" si="11"/>
        <v>-7.6903994046142454E-3</v>
      </c>
      <c r="W100" s="164" t="s">
        <v>275</v>
      </c>
      <c r="X100" s="162">
        <v>14330.35</v>
      </c>
      <c r="Y100" s="163">
        <f t="shared" si="12"/>
        <v>7.0827573323370085E-2</v>
      </c>
      <c r="AA100" s="164" t="s">
        <v>275</v>
      </c>
      <c r="AB100" s="164">
        <v>293.99</v>
      </c>
      <c r="AC100" s="163">
        <f t="shared" si="13"/>
        <v>-4.7394969362536399E-3</v>
      </c>
    </row>
    <row r="101" spans="3:29">
      <c r="C101" s="164" t="s">
        <v>276</v>
      </c>
      <c r="D101" s="164">
        <v>577.04999999999995</v>
      </c>
      <c r="E101" s="163">
        <f t="shared" si="7"/>
        <v>3.0538440932226019E-2</v>
      </c>
      <c r="G101" s="161">
        <v>45123</v>
      </c>
      <c r="H101" s="162">
        <v>19745</v>
      </c>
      <c r="I101" s="163">
        <f t="shared" si="8"/>
        <v>9.225893838329613E-3</v>
      </c>
      <c r="K101" s="164" t="s">
        <v>276</v>
      </c>
      <c r="L101" s="164">
        <v>627.54999999999995</v>
      </c>
      <c r="M101" s="163">
        <f t="shared" si="9"/>
        <v>-0.14022468831346768</v>
      </c>
      <c r="O101" s="164" t="s">
        <v>276</v>
      </c>
      <c r="P101" s="160">
        <v>167.95</v>
      </c>
      <c r="Q101" s="163">
        <f t="shared" si="10"/>
        <v>1.7817101993818474E-2</v>
      </c>
      <c r="S101" s="164" t="s">
        <v>276</v>
      </c>
      <c r="T101" s="160">
        <v>403.1</v>
      </c>
      <c r="U101" s="163">
        <f t="shared" si="11"/>
        <v>-2.4915336236090879E-2</v>
      </c>
      <c r="W101" s="164" t="s">
        <v>276</v>
      </c>
      <c r="X101" s="162">
        <v>13382.5</v>
      </c>
      <c r="Y101" s="163">
        <f t="shared" si="12"/>
        <v>-1.9094040900095255E-2</v>
      </c>
      <c r="AA101" s="164" t="s">
        <v>276</v>
      </c>
      <c r="AB101" s="164">
        <v>295.39</v>
      </c>
      <c r="AC101" s="163">
        <f t="shared" si="13"/>
        <v>1.876185549232634E-2</v>
      </c>
    </row>
    <row r="102" spans="3:29">
      <c r="C102" s="165">
        <v>45176</v>
      </c>
      <c r="D102" s="164">
        <v>559.95000000000005</v>
      </c>
      <c r="E102" s="163">
        <f t="shared" si="7"/>
        <v>1.6098738932117662E-3</v>
      </c>
      <c r="G102" s="161">
        <v>45116</v>
      </c>
      <c r="H102" s="162">
        <v>19564.5</v>
      </c>
      <c r="I102" s="163">
        <f t="shared" si="8"/>
        <v>1.2037161567986399E-2</v>
      </c>
      <c r="K102" s="165">
        <v>45176</v>
      </c>
      <c r="L102" s="164">
        <v>729.9</v>
      </c>
      <c r="M102" s="163">
        <f t="shared" si="9"/>
        <v>3.4585400425230395E-2</v>
      </c>
      <c r="O102" s="165">
        <v>45176</v>
      </c>
      <c r="P102" s="160">
        <v>165.01</v>
      </c>
      <c r="Q102" s="163">
        <f t="shared" si="10"/>
        <v>2.7267633692336313E-2</v>
      </c>
      <c r="S102" s="165">
        <v>45176</v>
      </c>
      <c r="T102" s="160">
        <v>413.4</v>
      </c>
      <c r="U102" s="163">
        <f t="shared" si="11"/>
        <v>1.9607843137254832E-2</v>
      </c>
      <c r="W102" s="165">
        <v>45176</v>
      </c>
      <c r="X102" s="162">
        <v>13643</v>
      </c>
      <c r="Y102" s="163">
        <f t="shared" si="12"/>
        <v>-4.8252444535218375E-3</v>
      </c>
      <c r="AA102" s="165">
        <v>45176</v>
      </c>
      <c r="AB102" s="164">
        <v>289.95</v>
      </c>
      <c r="AC102" s="163">
        <f t="shared" si="13"/>
        <v>-2.1464007289662912E-2</v>
      </c>
    </row>
    <row r="103" spans="3:29">
      <c r="C103" s="165">
        <v>44964</v>
      </c>
      <c r="D103" s="164">
        <v>559.04999999999995</v>
      </c>
      <c r="E103" s="163">
        <f t="shared" si="7"/>
        <v>8.37452747891827E-2</v>
      </c>
      <c r="G103" s="161">
        <v>45109</v>
      </c>
      <c r="H103" s="162">
        <v>19331.8</v>
      </c>
      <c r="I103" s="163">
        <f t="shared" si="8"/>
        <v>7.4391384669902916E-3</v>
      </c>
      <c r="K103" s="165">
        <v>44964</v>
      </c>
      <c r="L103" s="164">
        <v>705.5</v>
      </c>
      <c r="M103" s="163">
        <f t="shared" si="9"/>
        <v>6.1780419896154681E-2</v>
      </c>
      <c r="O103" s="165">
        <v>44964</v>
      </c>
      <c r="P103" s="160">
        <v>160.63</v>
      </c>
      <c r="Q103" s="163">
        <f t="shared" si="10"/>
        <v>-4.7090897825143863E-3</v>
      </c>
      <c r="S103" s="165">
        <v>44964</v>
      </c>
      <c r="T103" s="160">
        <v>405.45</v>
      </c>
      <c r="U103" s="163">
        <f t="shared" si="11"/>
        <v>3.4179313863027527E-2</v>
      </c>
      <c r="W103" s="165">
        <v>44964</v>
      </c>
      <c r="X103" s="162">
        <v>13709.15</v>
      </c>
      <c r="Y103" s="163">
        <f t="shared" si="12"/>
        <v>7.0815962975885327E-3</v>
      </c>
      <c r="AA103" s="165">
        <v>44964</v>
      </c>
      <c r="AB103" s="164">
        <v>296.31</v>
      </c>
      <c r="AC103" s="163">
        <f t="shared" si="13"/>
        <v>-1.6845793605336778E-3</v>
      </c>
    </row>
    <row r="104" spans="3:29">
      <c r="C104" s="164" t="s">
        <v>277</v>
      </c>
      <c r="D104" s="164">
        <v>515.85</v>
      </c>
      <c r="E104" s="163">
        <f t="shared" si="7"/>
        <v>-3.5523978685612745E-2</v>
      </c>
      <c r="G104" s="161">
        <v>45102</v>
      </c>
      <c r="H104" s="162">
        <v>19189.05</v>
      </c>
      <c r="I104" s="163">
        <f t="shared" si="8"/>
        <v>2.8049074495727355E-2</v>
      </c>
      <c r="K104" s="164" t="s">
        <v>277</v>
      </c>
      <c r="L104" s="164">
        <v>664.45</v>
      </c>
      <c r="M104" s="163">
        <f t="shared" si="9"/>
        <v>4.1212880984094813E-2</v>
      </c>
      <c r="O104" s="164" t="s">
        <v>277</v>
      </c>
      <c r="P104" s="160">
        <v>161.38999999999999</v>
      </c>
      <c r="Q104" s="163">
        <f t="shared" si="10"/>
        <v>-5.1093603010348265E-2</v>
      </c>
      <c r="S104" s="164" t="s">
        <v>277</v>
      </c>
      <c r="T104" s="160">
        <v>392.05</v>
      </c>
      <c r="U104" s="163">
        <f t="shared" si="11"/>
        <v>1.3049095607235106E-2</v>
      </c>
      <c r="W104" s="164" t="s">
        <v>277</v>
      </c>
      <c r="X104" s="162">
        <v>13612.75</v>
      </c>
      <c r="Y104" s="163">
        <f t="shared" si="12"/>
        <v>9.3371619043794318E-2</v>
      </c>
      <c r="AA104" s="164" t="s">
        <v>277</v>
      </c>
      <c r="AB104" s="164">
        <v>296.81</v>
      </c>
      <c r="AC104" s="163">
        <f t="shared" si="13"/>
        <v>4.093369418132653E-3</v>
      </c>
    </row>
    <row r="105" spans="3:29">
      <c r="C105" s="164" t="s">
        <v>278</v>
      </c>
      <c r="D105" s="164">
        <v>534.85</v>
      </c>
      <c r="E105" s="163">
        <f t="shared" si="7"/>
        <v>-1.8443751146999365E-2</v>
      </c>
      <c r="G105" s="161">
        <v>45095</v>
      </c>
      <c r="H105" s="162">
        <v>18665.5</v>
      </c>
      <c r="I105" s="163">
        <f t="shared" si="8"/>
        <v>-8.5254435355359703E-3</v>
      </c>
      <c r="K105" s="164" t="s">
        <v>278</v>
      </c>
      <c r="L105" s="164">
        <v>638.15</v>
      </c>
      <c r="M105" s="163">
        <f t="shared" si="9"/>
        <v>-1.7853020392458618E-2</v>
      </c>
      <c r="O105" s="164" t="s">
        <v>278</v>
      </c>
      <c r="P105" s="160">
        <v>170.08</v>
      </c>
      <c r="Q105" s="163">
        <f t="shared" si="10"/>
        <v>3.1850997997937336E-2</v>
      </c>
      <c r="S105" s="164" t="s">
        <v>278</v>
      </c>
      <c r="T105" s="160">
        <v>387</v>
      </c>
      <c r="U105" s="163">
        <f t="shared" si="11"/>
        <v>1.1641443538998875E-3</v>
      </c>
      <c r="W105" s="164" t="s">
        <v>278</v>
      </c>
      <c r="X105" s="162">
        <v>12450.25</v>
      </c>
      <c r="Y105" s="163">
        <f t="shared" si="12"/>
        <v>5.627409974590547E-2</v>
      </c>
      <c r="AA105" s="164" t="s">
        <v>278</v>
      </c>
      <c r="AB105" s="164">
        <v>295.60000000000002</v>
      </c>
      <c r="AC105" s="163">
        <f t="shared" si="13"/>
        <v>-1.4929352172753818E-2</v>
      </c>
    </row>
    <row r="106" spans="3:29">
      <c r="C106" s="165">
        <v>45236</v>
      </c>
      <c r="D106" s="164">
        <v>544.9</v>
      </c>
      <c r="E106" s="163">
        <f t="shared" si="7"/>
        <v>-1.7490082942661411E-2</v>
      </c>
      <c r="G106" s="161">
        <v>45088</v>
      </c>
      <c r="H106" s="162">
        <v>18826</v>
      </c>
      <c r="I106" s="163">
        <f t="shared" si="8"/>
        <v>1.4146115474535925E-2</v>
      </c>
      <c r="K106" s="165">
        <v>45236</v>
      </c>
      <c r="L106" s="164">
        <v>649.75</v>
      </c>
      <c r="M106" s="163">
        <f t="shared" si="9"/>
        <v>2.0175851782069376E-2</v>
      </c>
      <c r="O106" s="165">
        <v>45236</v>
      </c>
      <c r="P106" s="160">
        <v>164.83</v>
      </c>
      <c r="Q106" s="163">
        <f t="shared" si="10"/>
        <v>7.8871580049744816E-2</v>
      </c>
      <c r="S106" s="165">
        <v>45236</v>
      </c>
      <c r="T106" s="160">
        <v>386.55</v>
      </c>
      <c r="U106" s="163">
        <f t="shared" si="11"/>
        <v>1.1381475667189944E-2</v>
      </c>
      <c r="W106" s="165">
        <v>45236</v>
      </c>
      <c r="X106" s="162">
        <v>11786.95</v>
      </c>
      <c r="Y106" s="163">
        <f t="shared" si="12"/>
        <v>-8.3041314526339782E-3</v>
      </c>
      <c r="AA106" s="165">
        <v>45236</v>
      </c>
      <c r="AB106" s="164">
        <v>300.08</v>
      </c>
      <c r="AC106" s="163">
        <f t="shared" si="13"/>
        <v>-2.5594149908593211E-3</v>
      </c>
    </row>
    <row r="107" spans="3:29">
      <c r="C107" s="165">
        <v>45022</v>
      </c>
      <c r="D107" s="164">
        <v>554.6</v>
      </c>
      <c r="E107" s="163">
        <f t="shared" si="7"/>
        <v>-1.8407079646017621E-2</v>
      </c>
      <c r="G107" s="161">
        <v>45081</v>
      </c>
      <c r="H107" s="162">
        <v>18563.400000000001</v>
      </c>
      <c r="I107" s="163">
        <f t="shared" si="8"/>
        <v>1.5808698561032841E-3</v>
      </c>
      <c r="K107" s="165">
        <v>45022</v>
      </c>
      <c r="L107" s="164">
        <v>636.9</v>
      </c>
      <c r="M107" s="163">
        <f t="shared" si="9"/>
        <v>7.0704690077771915E-4</v>
      </c>
      <c r="O107" s="165">
        <v>45022</v>
      </c>
      <c r="P107" s="160">
        <v>152.78</v>
      </c>
      <c r="Q107" s="163">
        <f t="shared" si="10"/>
        <v>-1.9761324265366476E-2</v>
      </c>
      <c r="S107" s="165">
        <v>45022</v>
      </c>
      <c r="T107" s="160">
        <v>382.2</v>
      </c>
      <c r="U107" s="163">
        <f t="shared" si="11"/>
        <v>-7.0148090413093556E-3</v>
      </c>
      <c r="W107" s="165">
        <v>45022</v>
      </c>
      <c r="X107" s="162">
        <v>11885.65</v>
      </c>
      <c r="Y107" s="163">
        <f t="shared" si="12"/>
        <v>2.8886897883041218E-2</v>
      </c>
      <c r="AA107" s="165">
        <v>45022</v>
      </c>
      <c r="AB107" s="164">
        <v>300.85000000000002</v>
      </c>
      <c r="AC107" s="163">
        <f t="shared" si="13"/>
        <v>1.8173818870989678E-2</v>
      </c>
    </row>
    <row r="108" spans="3:29">
      <c r="C108" s="164" t="s">
        <v>279</v>
      </c>
      <c r="D108" s="164">
        <v>565</v>
      </c>
      <c r="E108" s="163">
        <f t="shared" si="7"/>
        <v>8.8573959255988655E-4</v>
      </c>
      <c r="G108" s="161">
        <v>45074</v>
      </c>
      <c r="H108" s="162">
        <v>18534.099999999999</v>
      </c>
      <c r="I108" s="163">
        <f t="shared" si="8"/>
        <v>1.8784443777755122E-3</v>
      </c>
      <c r="K108" s="164" t="s">
        <v>279</v>
      </c>
      <c r="L108" s="164">
        <v>636.45000000000005</v>
      </c>
      <c r="M108" s="163">
        <f t="shared" si="9"/>
        <v>3.0938689560217059E-2</v>
      </c>
      <c r="O108" s="164" t="s">
        <v>279</v>
      </c>
      <c r="P108" s="160">
        <v>155.86000000000001</v>
      </c>
      <c r="Q108" s="163">
        <f t="shared" si="10"/>
        <v>8.7193080357142794E-2</v>
      </c>
      <c r="S108" s="164" t="s">
        <v>279</v>
      </c>
      <c r="T108" s="160">
        <v>384.9</v>
      </c>
      <c r="U108" s="163">
        <f t="shared" si="11"/>
        <v>1.2361914781693795E-2</v>
      </c>
      <c r="W108" s="164" t="s">
        <v>279</v>
      </c>
      <c r="X108" s="162">
        <v>11551.95</v>
      </c>
      <c r="Y108" s="163">
        <f t="shared" si="12"/>
        <v>-1.4166300419442002E-2</v>
      </c>
      <c r="AA108" s="164" t="s">
        <v>279</v>
      </c>
      <c r="AB108" s="164">
        <v>295.48</v>
      </c>
      <c r="AC108" s="163">
        <f t="shared" si="13"/>
        <v>1.3688291193522995E-2</v>
      </c>
    </row>
    <row r="109" spans="3:29">
      <c r="C109" s="164" t="s">
        <v>280</v>
      </c>
      <c r="D109" s="164">
        <v>564.5</v>
      </c>
      <c r="E109" s="163">
        <f t="shared" si="7"/>
        <v>-6.5706719629261889E-2</v>
      </c>
      <c r="G109" s="161">
        <v>45067</v>
      </c>
      <c r="H109" s="162">
        <v>18499.349999999999</v>
      </c>
      <c r="I109" s="163">
        <f t="shared" si="8"/>
        <v>1.6257951811200044E-2</v>
      </c>
      <c r="K109" s="164" t="s">
        <v>280</v>
      </c>
      <c r="L109" s="164">
        <v>617.35</v>
      </c>
      <c r="M109" s="163">
        <f t="shared" si="9"/>
        <v>3.4346988355533181E-2</v>
      </c>
      <c r="O109" s="164" t="s">
        <v>280</v>
      </c>
      <c r="P109" s="160">
        <v>143.36000000000001</v>
      </c>
      <c r="Q109" s="163">
        <f t="shared" si="10"/>
        <v>0.100906158808171</v>
      </c>
      <c r="S109" s="164" t="s">
        <v>280</v>
      </c>
      <c r="T109" s="160">
        <v>380.2</v>
      </c>
      <c r="U109" s="163">
        <f t="shared" si="11"/>
        <v>3.7097654118930512E-2</v>
      </c>
      <c r="W109" s="164" t="s">
        <v>280</v>
      </c>
      <c r="X109" s="162">
        <v>11717.95</v>
      </c>
      <c r="Y109" s="163">
        <f t="shared" si="12"/>
        <v>8.8715147123040738E-2</v>
      </c>
      <c r="AA109" s="164" t="s">
        <v>280</v>
      </c>
      <c r="AB109" s="164">
        <v>291.49</v>
      </c>
      <c r="AC109" s="163">
        <f t="shared" si="13"/>
        <v>-4.7799515176345508E-3</v>
      </c>
    </row>
    <row r="110" spans="3:29">
      <c r="C110" s="164" t="s">
        <v>281</v>
      </c>
      <c r="D110" s="164">
        <v>604.20000000000005</v>
      </c>
      <c r="E110" s="163">
        <f t="shared" si="7"/>
        <v>2.7813217657565836E-2</v>
      </c>
      <c r="G110" s="161">
        <v>45060</v>
      </c>
      <c r="H110" s="162">
        <v>18203.400000000001</v>
      </c>
      <c r="I110" s="163">
        <f t="shared" si="8"/>
        <v>-6.0825125035489647E-3</v>
      </c>
      <c r="K110" s="164" t="s">
        <v>281</v>
      </c>
      <c r="L110" s="164">
        <v>596.85</v>
      </c>
      <c r="M110" s="163">
        <f t="shared" si="9"/>
        <v>3.024955886059999E-3</v>
      </c>
      <c r="O110" s="164" t="s">
        <v>281</v>
      </c>
      <c r="P110" s="160">
        <v>130.22</v>
      </c>
      <c r="Q110" s="163">
        <f t="shared" si="10"/>
        <v>3.9929723686312091E-2</v>
      </c>
      <c r="S110" s="164" t="s">
        <v>281</v>
      </c>
      <c r="T110" s="160">
        <v>366.6</v>
      </c>
      <c r="U110" s="163">
        <f t="shared" si="11"/>
        <v>-1.8079550020088431E-2</v>
      </c>
      <c r="W110" s="164" t="s">
        <v>281</v>
      </c>
      <c r="X110" s="162">
        <v>10763.1</v>
      </c>
      <c r="Y110" s="163">
        <f t="shared" si="12"/>
        <v>0.12701437681280825</v>
      </c>
      <c r="AA110" s="164" t="s">
        <v>281</v>
      </c>
      <c r="AB110" s="164">
        <v>292.89</v>
      </c>
      <c r="AC110" s="163">
        <f t="shared" si="13"/>
        <v>-3.1704575509124644E-2</v>
      </c>
    </row>
    <row r="111" spans="3:29">
      <c r="C111" s="165">
        <v>45112</v>
      </c>
      <c r="D111" s="164">
        <v>587.85</v>
      </c>
      <c r="E111" s="163">
        <f t="shared" si="7"/>
        <v>1.6777652858254832E-2</v>
      </c>
      <c r="G111" s="161">
        <v>45053</v>
      </c>
      <c r="H111" s="162">
        <v>18314.8</v>
      </c>
      <c r="I111" s="163">
        <f t="shared" si="8"/>
        <v>1.3603409153799317E-2</v>
      </c>
      <c r="K111" s="165">
        <v>45112</v>
      </c>
      <c r="L111" s="164">
        <v>595.04999999999995</v>
      </c>
      <c r="M111" s="163">
        <f t="shared" si="9"/>
        <v>3.9933589653966983E-2</v>
      </c>
      <c r="O111" s="165">
        <v>45112</v>
      </c>
      <c r="P111" s="160">
        <v>125.22</v>
      </c>
      <c r="Q111" s="163">
        <f t="shared" si="10"/>
        <v>-5.8748809145759973E-3</v>
      </c>
      <c r="S111" s="165">
        <v>45112</v>
      </c>
      <c r="T111" s="160">
        <v>373.35</v>
      </c>
      <c r="U111" s="163">
        <f t="shared" si="11"/>
        <v>4.8445700444086359E-3</v>
      </c>
      <c r="W111" s="165">
        <v>45112</v>
      </c>
      <c r="X111" s="162">
        <v>9550.1</v>
      </c>
      <c r="Y111" s="163">
        <f t="shared" si="12"/>
        <v>3.5628500631672777E-2</v>
      </c>
      <c r="AA111" s="165">
        <v>45112</v>
      </c>
      <c r="AB111" s="164">
        <v>302.48</v>
      </c>
      <c r="AC111" s="163">
        <f t="shared" si="13"/>
        <v>-1.2600378664229139E-2</v>
      </c>
    </row>
    <row r="112" spans="3:29">
      <c r="C112" s="164" t="s">
        <v>282</v>
      </c>
      <c r="D112" s="164">
        <v>578.15</v>
      </c>
      <c r="E112" s="163">
        <f t="shared" si="7"/>
        <v>-1.5579771837221146E-2</v>
      </c>
      <c r="G112" s="161">
        <v>45046</v>
      </c>
      <c r="H112" s="162">
        <v>18069</v>
      </c>
      <c r="I112" s="163">
        <f t="shared" si="8"/>
        <v>2.2142264046509652E-4</v>
      </c>
      <c r="K112" s="164" t="s">
        <v>282</v>
      </c>
      <c r="L112" s="164">
        <v>572.20000000000005</v>
      </c>
      <c r="M112" s="163">
        <f t="shared" si="9"/>
        <v>-4.9896222498962195E-2</v>
      </c>
      <c r="O112" s="164" t="s">
        <v>282</v>
      </c>
      <c r="P112" s="160">
        <v>125.96</v>
      </c>
      <c r="Q112" s="163">
        <f t="shared" si="10"/>
        <v>1.9011406844106515E-2</v>
      </c>
      <c r="S112" s="164" t="s">
        <v>282</v>
      </c>
      <c r="T112" s="160">
        <v>371.55</v>
      </c>
      <c r="U112" s="163">
        <f t="shared" si="11"/>
        <v>2.709053213545265E-2</v>
      </c>
      <c r="W112" s="164" t="s">
        <v>282</v>
      </c>
      <c r="X112" s="162">
        <v>9221.5499999999993</v>
      </c>
      <c r="Y112" s="163">
        <f t="shared" si="12"/>
        <v>-3.4096681112276706E-3</v>
      </c>
      <c r="AA112" s="164" t="s">
        <v>282</v>
      </c>
      <c r="AB112" s="164">
        <v>306.33999999999997</v>
      </c>
      <c r="AC112" s="163">
        <f t="shared" si="13"/>
        <v>-1.3588356517259204E-2</v>
      </c>
    </row>
    <row r="113" spans="3:29">
      <c r="C113" s="164" t="s">
        <v>283</v>
      </c>
      <c r="D113" s="164">
        <v>587.29999999999995</v>
      </c>
      <c r="E113" s="163">
        <f t="shared" si="7"/>
        <v>4.4467248161448314E-3</v>
      </c>
      <c r="G113" s="161">
        <v>45039</v>
      </c>
      <c r="H113" s="162">
        <v>18065</v>
      </c>
      <c r="I113" s="163">
        <f t="shared" si="8"/>
        <v>2.5019788300645995E-2</v>
      </c>
      <c r="K113" s="164" t="s">
        <v>283</v>
      </c>
      <c r="L113" s="164">
        <v>602.25</v>
      </c>
      <c r="M113" s="163">
        <f t="shared" si="9"/>
        <v>7.8141783029000988E-2</v>
      </c>
      <c r="O113" s="164" t="s">
        <v>283</v>
      </c>
      <c r="P113" s="160">
        <v>123.61</v>
      </c>
      <c r="Q113" s="163">
        <f t="shared" si="10"/>
        <v>3.4220214190093801E-2</v>
      </c>
      <c r="S113" s="164" t="s">
        <v>283</v>
      </c>
      <c r="T113" s="160">
        <v>361.75</v>
      </c>
      <c r="U113" s="163">
        <f t="shared" si="11"/>
        <v>2.3552230534775731E-3</v>
      </c>
      <c r="W113" s="164" t="s">
        <v>283</v>
      </c>
      <c r="X113" s="162">
        <v>9253.1</v>
      </c>
      <c r="Y113" s="163">
        <f t="shared" si="12"/>
        <v>6.7698236868826811E-2</v>
      </c>
      <c r="AA113" s="164" t="s">
        <v>283</v>
      </c>
      <c r="AB113" s="164">
        <v>310.56</v>
      </c>
      <c r="AC113" s="163">
        <f t="shared" si="13"/>
        <v>1.5134181021802418E-2</v>
      </c>
    </row>
    <row r="114" spans="3:29">
      <c r="C114" s="164" t="s">
        <v>284</v>
      </c>
      <c r="D114" s="164">
        <v>584.70000000000005</v>
      </c>
      <c r="E114" s="163">
        <f t="shared" si="7"/>
        <v>-1.9453295321146924E-2</v>
      </c>
      <c r="G114" s="161">
        <v>45032</v>
      </c>
      <c r="H114" s="162">
        <v>17624.05</v>
      </c>
      <c r="I114" s="163">
        <f t="shared" si="8"/>
        <v>-1.143986986762402E-2</v>
      </c>
      <c r="K114" s="164" t="s">
        <v>284</v>
      </c>
      <c r="L114" s="164">
        <v>558.6</v>
      </c>
      <c r="M114" s="163">
        <f t="shared" si="9"/>
        <v>-3.3898305084745228E-3</v>
      </c>
      <c r="O114" s="164" t="s">
        <v>284</v>
      </c>
      <c r="P114" s="160">
        <v>119.52</v>
      </c>
      <c r="Q114" s="163">
        <f t="shared" si="10"/>
        <v>4.2113523410933773E-2</v>
      </c>
      <c r="S114" s="164" t="s">
        <v>284</v>
      </c>
      <c r="T114" s="160">
        <v>360.9</v>
      </c>
      <c r="U114" s="163">
        <f t="shared" si="11"/>
        <v>-3.314001657000909E-3</v>
      </c>
      <c r="W114" s="164" t="s">
        <v>284</v>
      </c>
      <c r="X114" s="162">
        <v>8666.4</v>
      </c>
      <c r="Y114" s="163">
        <f t="shared" si="12"/>
        <v>-7.6199866755496393E-2</v>
      </c>
      <c r="AA114" s="164" t="s">
        <v>284</v>
      </c>
      <c r="AB114" s="164">
        <v>305.93</v>
      </c>
      <c r="AC114" s="163">
        <f t="shared" si="13"/>
        <v>-1.0287599883536669E-2</v>
      </c>
    </row>
    <row r="115" spans="3:29">
      <c r="C115" s="165">
        <v>45173</v>
      </c>
      <c r="D115" s="164">
        <v>596.29999999999995</v>
      </c>
      <c r="E115" s="163">
        <f t="shared" si="7"/>
        <v>5.6145944031172457E-2</v>
      </c>
      <c r="G115" s="161">
        <v>45025</v>
      </c>
      <c r="H115" s="162">
        <v>17828</v>
      </c>
      <c r="I115" s="163">
        <f t="shared" si="8"/>
        <v>1.3003468917532901E-2</v>
      </c>
      <c r="K115" s="165">
        <v>45173</v>
      </c>
      <c r="L115" s="164">
        <v>560.5</v>
      </c>
      <c r="M115" s="163">
        <f t="shared" si="9"/>
        <v>-6.0294378435892249E-3</v>
      </c>
      <c r="O115" s="165">
        <v>45173</v>
      </c>
      <c r="P115" s="160">
        <v>114.69</v>
      </c>
      <c r="Q115" s="163">
        <f t="shared" si="10"/>
        <v>1.7441353449032526E-4</v>
      </c>
      <c r="S115" s="165">
        <v>45173</v>
      </c>
      <c r="T115" s="160">
        <v>362.1</v>
      </c>
      <c r="U115" s="163">
        <f t="shared" si="11"/>
        <v>-3.7144036318612628E-3</v>
      </c>
      <c r="W115" s="165">
        <v>45173</v>
      </c>
      <c r="X115" s="162">
        <v>9381.25</v>
      </c>
      <c r="Y115" s="163">
        <f t="shared" si="12"/>
        <v>-2.1645251872022264E-3</v>
      </c>
      <c r="AA115" s="165">
        <v>45173</v>
      </c>
      <c r="AB115" s="164">
        <v>309.11</v>
      </c>
      <c r="AC115" s="163">
        <f t="shared" si="13"/>
        <v>1.1011432457816994E-3</v>
      </c>
    </row>
    <row r="116" spans="3:29">
      <c r="C116" s="165">
        <v>44961</v>
      </c>
      <c r="D116" s="164">
        <v>564.6</v>
      </c>
      <c r="E116" s="163">
        <f t="shared" si="7"/>
        <v>0.12168471242674084</v>
      </c>
      <c r="G116" s="161">
        <v>45018</v>
      </c>
      <c r="H116" s="162">
        <v>17599.150000000001</v>
      </c>
      <c r="I116" s="163">
        <f t="shared" si="8"/>
        <v>1.3790521176860304E-2</v>
      </c>
      <c r="K116" s="165">
        <v>44961</v>
      </c>
      <c r="L116" s="164">
        <v>563.9</v>
      </c>
      <c r="M116" s="163">
        <f t="shared" si="9"/>
        <v>-6.6061833876508436E-3</v>
      </c>
      <c r="O116" s="165">
        <v>44961</v>
      </c>
      <c r="P116" s="160">
        <v>114.67</v>
      </c>
      <c r="Q116" s="163">
        <f t="shared" si="10"/>
        <v>7.3789680681711767E-2</v>
      </c>
      <c r="S116" s="165">
        <v>44961</v>
      </c>
      <c r="T116" s="160">
        <v>363.45</v>
      </c>
      <c r="U116" s="163">
        <f t="shared" si="11"/>
        <v>7.0702607158638964E-2</v>
      </c>
      <c r="W116" s="165">
        <v>44961</v>
      </c>
      <c r="X116" s="162">
        <v>9401.6</v>
      </c>
      <c r="Y116" s="163">
        <f t="shared" si="12"/>
        <v>0.17192593192767713</v>
      </c>
      <c r="AA116" s="165">
        <v>44961</v>
      </c>
      <c r="AB116" s="164">
        <v>308.77</v>
      </c>
      <c r="AC116" s="163">
        <f t="shared" si="13"/>
        <v>-4.1604850674064053E-3</v>
      </c>
    </row>
    <row r="117" spans="3:29">
      <c r="C117" s="164" t="s">
        <v>285</v>
      </c>
      <c r="D117" s="164">
        <v>503.35</v>
      </c>
      <c r="E117" s="163">
        <f t="shared" si="7"/>
        <v>-4.6143642220958903E-2</v>
      </c>
      <c r="G117" s="161">
        <v>45011</v>
      </c>
      <c r="H117" s="162">
        <v>17359.75</v>
      </c>
      <c r="I117" s="163">
        <f t="shared" si="8"/>
        <v>2.4473223743807226E-2</v>
      </c>
      <c r="K117" s="164" t="s">
        <v>285</v>
      </c>
      <c r="L117" s="164">
        <v>567.65</v>
      </c>
      <c r="M117" s="163">
        <f t="shared" si="9"/>
        <v>1.6929415979935358E-2</v>
      </c>
      <c r="O117" s="164" t="s">
        <v>285</v>
      </c>
      <c r="P117" s="160">
        <v>106.79</v>
      </c>
      <c r="Q117" s="163">
        <f t="shared" si="10"/>
        <v>1.1249648448485861E-3</v>
      </c>
      <c r="S117" s="164" t="s">
        <v>285</v>
      </c>
      <c r="T117" s="160">
        <v>339.45</v>
      </c>
      <c r="U117" s="163">
        <f t="shared" si="11"/>
        <v>1.2226032503354523E-2</v>
      </c>
      <c r="W117" s="164" t="s">
        <v>285</v>
      </c>
      <c r="X117" s="162">
        <v>8022.35</v>
      </c>
      <c r="Y117" s="163">
        <f t="shared" si="12"/>
        <v>-2.2499086145972957E-2</v>
      </c>
      <c r="AA117" s="164" t="s">
        <v>285</v>
      </c>
      <c r="AB117" s="164">
        <v>310.06</v>
      </c>
      <c r="AC117" s="163">
        <f t="shared" si="13"/>
        <v>1.6890229903905984E-2</v>
      </c>
    </row>
    <row r="118" spans="3:29">
      <c r="C118" s="164" t="s">
        <v>286</v>
      </c>
      <c r="D118" s="164">
        <v>527.70000000000005</v>
      </c>
      <c r="E118" s="163">
        <f t="shared" si="7"/>
        <v>-6.2146892655365882E-3</v>
      </c>
      <c r="G118" s="161">
        <v>45004</v>
      </c>
      <c r="H118" s="162">
        <v>16945.05</v>
      </c>
      <c r="I118" s="163">
        <f t="shared" si="8"/>
        <v>-9.0643009815760678E-3</v>
      </c>
      <c r="K118" s="164" t="s">
        <v>286</v>
      </c>
      <c r="L118" s="164">
        <v>558.20000000000005</v>
      </c>
      <c r="M118" s="163">
        <f t="shared" si="9"/>
        <v>-1.2122820989292848E-2</v>
      </c>
      <c r="O118" s="164" t="s">
        <v>286</v>
      </c>
      <c r="P118" s="160">
        <v>106.67</v>
      </c>
      <c r="Q118" s="163">
        <f t="shared" si="10"/>
        <v>-3.4223630602082444E-2</v>
      </c>
      <c r="S118" s="164" t="s">
        <v>286</v>
      </c>
      <c r="T118" s="160">
        <v>335.35</v>
      </c>
      <c r="U118" s="163">
        <f t="shared" si="11"/>
        <v>-2.2160664819944498E-2</v>
      </c>
      <c r="W118" s="164" t="s">
        <v>286</v>
      </c>
      <c r="X118" s="162">
        <v>8207</v>
      </c>
      <c r="Y118" s="163">
        <f t="shared" si="12"/>
        <v>-4.421398333459492E-2</v>
      </c>
      <c r="AA118" s="164" t="s">
        <v>286</v>
      </c>
      <c r="AB118" s="164">
        <v>304.91000000000003</v>
      </c>
      <c r="AC118" s="163">
        <f t="shared" si="13"/>
        <v>3.5348047538200422E-2</v>
      </c>
    </row>
    <row r="119" spans="3:29">
      <c r="C119" s="165">
        <v>45263</v>
      </c>
      <c r="D119" s="164">
        <v>531</v>
      </c>
      <c r="E119" s="163">
        <f t="shared" si="7"/>
        <v>-2.7294376259388131E-2</v>
      </c>
      <c r="G119" s="161">
        <v>44997</v>
      </c>
      <c r="H119" s="162">
        <v>17100.05</v>
      </c>
      <c r="I119" s="163">
        <f t="shared" si="8"/>
        <v>-1.796656501788918E-2</v>
      </c>
      <c r="K119" s="165">
        <v>45263</v>
      </c>
      <c r="L119" s="164">
        <v>565.04999999999995</v>
      </c>
      <c r="M119" s="163">
        <f t="shared" si="9"/>
        <v>-2.5691869988792249E-2</v>
      </c>
      <c r="O119" s="165">
        <v>45263</v>
      </c>
      <c r="P119" s="160">
        <v>110.45</v>
      </c>
      <c r="Q119" s="163">
        <f t="shared" si="10"/>
        <v>-1.7523572318092873E-2</v>
      </c>
      <c r="S119" s="165">
        <v>45263</v>
      </c>
      <c r="T119" s="160">
        <v>342.95</v>
      </c>
      <c r="U119" s="163">
        <f t="shared" si="11"/>
        <v>-5.925113153202588E-2</v>
      </c>
      <c r="W119" s="165">
        <v>45263</v>
      </c>
      <c r="X119" s="162">
        <v>8586.65</v>
      </c>
      <c r="Y119" s="163">
        <f t="shared" si="12"/>
        <v>-4.6711592690454551E-2</v>
      </c>
      <c r="AA119" s="165">
        <v>45263</v>
      </c>
      <c r="AB119" s="164">
        <v>294.5</v>
      </c>
      <c r="AC119" s="163">
        <f t="shared" si="13"/>
        <v>-2.7924478479007031E-2</v>
      </c>
    </row>
    <row r="120" spans="3:29">
      <c r="C120" s="165">
        <v>45049</v>
      </c>
      <c r="D120" s="164">
        <v>545.9</v>
      </c>
      <c r="E120" s="163">
        <f t="shared" si="7"/>
        <v>-3.8823840126771869E-2</v>
      </c>
      <c r="G120" s="161">
        <v>44990</v>
      </c>
      <c r="H120" s="162">
        <v>17412.900000000001</v>
      </c>
      <c r="I120" s="163">
        <f t="shared" si="8"/>
        <v>-1.0312969788596749E-2</v>
      </c>
      <c r="K120" s="165">
        <v>45049</v>
      </c>
      <c r="L120" s="164">
        <v>579.95000000000005</v>
      </c>
      <c r="M120" s="163">
        <f t="shared" si="9"/>
        <v>3.4516589368533745E-2</v>
      </c>
      <c r="O120" s="165">
        <v>45049</v>
      </c>
      <c r="P120" s="160">
        <v>112.42</v>
      </c>
      <c r="Q120" s="163">
        <f t="shared" si="10"/>
        <v>7.1687321258341319E-2</v>
      </c>
      <c r="S120" s="165">
        <v>45049</v>
      </c>
      <c r="T120" s="160">
        <v>364.55</v>
      </c>
      <c r="U120" s="163">
        <f t="shared" si="11"/>
        <v>-2.5991792065662711E-3</v>
      </c>
      <c r="W120" s="165">
        <v>45049</v>
      </c>
      <c r="X120" s="162">
        <v>9007.4</v>
      </c>
      <c r="Y120" s="163">
        <f t="shared" si="12"/>
        <v>6.9435572121334665E-4</v>
      </c>
      <c r="AA120" s="165">
        <v>45049</v>
      </c>
      <c r="AB120" s="164">
        <v>302.95999999999998</v>
      </c>
      <c r="AC120" s="163">
        <f t="shared" si="13"/>
        <v>4.6349381777992527E-2</v>
      </c>
    </row>
    <row r="121" spans="3:29">
      <c r="C121" s="164" t="s">
        <v>287</v>
      </c>
      <c r="D121" s="164">
        <v>567.95000000000005</v>
      </c>
      <c r="E121" s="163">
        <f t="shared" si="7"/>
        <v>-3.2467532467530535E-3</v>
      </c>
      <c r="G121" s="161">
        <v>44983</v>
      </c>
      <c r="H121" s="162">
        <v>17594.349999999999</v>
      </c>
      <c r="I121" s="163">
        <f t="shared" si="8"/>
        <v>7.360098020130712E-3</v>
      </c>
      <c r="K121" s="164" t="s">
        <v>287</v>
      </c>
      <c r="L121" s="164">
        <v>560.6</v>
      </c>
      <c r="M121" s="163">
        <f t="shared" si="9"/>
        <v>1.7515201016426118E-2</v>
      </c>
      <c r="O121" s="164" t="s">
        <v>287</v>
      </c>
      <c r="P121" s="160">
        <v>104.9</v>
      </c>
      <c r="Q121" s="163">
        <f t="shared" si="10"/>
        <v>-1.0475192838776959E-3</v>
      </c>
      <c r="S121" s="164" t="s">
        <v>287</v>
      </c>
      <c r="T121" s="160">
        <v>365.5</v>
      </c>
      <c r="U121" s="163">
        <f t="shared" si="11"/>
        <v>-2.0107238605898137E-2</v>
      </c>
      <c r="W121" s="164" t="s">
        <v>287</v>
      </c>
      <c r="X121" s="162">
        <v>9001.15</v>
      </c>
      <c r="Y121" s="163">
        <f t="shared" si="12"/>
        <v>-1.3150826106500424E-2</v>
      </c>
      <c r="AA121" s="164" t="s">
        <v>287</v>
      </c>
      <c r="AB121" s="164">
        <v>289.54000000000002</v>
      </c>
      <c r="AC121" s="163">
        <f t="shared" si="13"/>
        <v>2.5501168803570229E-2</v>
      </c>
    </row>
    <row r="122" spans="3:29">
      <c r="C122" s="164" t="s">
        <v>288</v>
      </c>
      <c r="D122" s="164">
        <v>569.79999999999995</v>
      </c>
      <c r="E122" s="163">
        <f t="shared" si="7"/>
        <v>-4.4039929536112798E-2</v>
      </c>
      <c r="G122" s="161">
        <v>44976</v>
      </c>
      <c r="H122" s="162">
        <v>17465.8</v>
      </c>
      <c r="I122" s="163">
        <f t="shared" si="8"/>
        <v>-2.6660425095574092E-2</v>
      </c>
      <c r="K122" s="164" t="s">
        <v>288</v>
      </c>
      <c r="L122" s="164">
        <v>550.95000000000005</v>
      </c>
      <c r="M122" s="163">
        <f t="shared" si="9"/>
        <v>3.5519125683061148E-3</v>
      </c>
      <c r="O122" s="164" t="s">
        <v>288</v>
      </c>
      <c r="P122" s="160">
        <v>105.01</v>
      </c>
      <c r="Q122" s="163">
        <f t="shared" si="10"/>
        <v>-3.198746312684364E-2</v>
      </c>
      <c r="S122" s="164" t="s">
        <v>288</v>
      </c>
      <c r="T122" s="160">
        <v>373</v>
      </c>
      <c r="U122" s="163">
        <f t="shared" si="11"/>
        <v>-3.6300219609869511E-2</v>
      </c>
      <c r="W122" s="164" t="s">
        <v>288</v>
      </c>
      <c r="X122" s="162">
        <v>9121.1</v>
      </c>
      <c r="Y122" s="163">
        <f t="shared" si="12"/>
        <v>4.343924286886347E-3</v>
      </c>
      <c r="AA122" s="164" t="s">
        <v>288</v>
      </c>
      <c r="AB122" s="164">
        <v>282.33999999999997</v>
      </c>
      <c r="AC122" s="163">
        <f t="shared" si="13"/>
        <v>-2.7319392289936961E-2</v>
      </c>
    </row>
    <row r="123" spans="3:29">
      <c r="C123" s="165">
        <v>45262</v>
      </c>
      <c r="D123" s="164">
        <v>596.04999999999995</v>
      </c>
      <c r="E123" s="163">
        <f t="shared" si="7"/>
        <v>2.4669073405535258E-2</v>
      </c>
      <c r="G123" s="161">
        <v>44969</v>
      </c>
      <c r="H123" s="162">
        <v>17944.2</v>
      </c>
      <c r="I123" s="163">
        <f t="shared" si="8"/>
        <v>4.9113768095652155E-3</v>
      </c>
      <c r="K123" s="165">
        <v>45262</v>
      </c>
      <c r="L123" s="164">
        <v>549</v>
      </c>
      <c r="M123" s="163">
        <f t="shared" si="9"/>
        <v>2.1905805038335835E-3</v>
      </c>
      <c r="O123" s="165">
        <v>45262</v>
      </c>
      <c r="P123" s="160">
        <v>108.48</v>
      </c>
      <c r="Q123" s="163">
        <f t="shared" si="10"/>
        <v>5.6177587381949223E-2</v>
      </c>
      <c r="S123" s="165">
        <v>45262</v>
      </c>
      <c r="T123" s="160">
        <v>387.05</v>
      </c>
      <c r="U123" s="163">
        <f t="shared" si="11"/>
        <v>-3.3474958156302081E-3</v>
      </c>
      <c r="W123" s="165">
        <v>45262</v>
      </c>
      <c r="X123" s="162">
        <v>9081.65</v>
      </c>
      <c r="Y123" s="163">
        <f t="shared" si="12"/>
        <v>-1.0864356198401093E-2</v>
      </c>
      <c r="AA123" s="165">
        <v>45262</v>
      </c>
      <c r="AB123" s="164">
        <v>290.27</v>
      </c>
      <c r="AC123" s="163">
        <f t="shared" si="13"/>
        <v>2.5471631456228216E-2</v>
      </c>
    </row>
    <row r="124" spans="3:29">
      <c r="C124" s="165">
        <v>45048</v>
      </c>
      <c r="D124" s="164">
        <v>581.70000000000005</v>
      </c>
      <c r="E124" s="163">
        <f t="shared" si="7"/>
        <v>6.6850068775790916E-2</v>
      </c>
      <c r="G124" s="161">
        <v>44962</v>
      </c>
      <c r="H124" s="162">
        <v>17856.5</v>
      </c>
      <c r="I124" s="163">
        <f t="shared" si="8"/>
        <v>1.372237671564136E-4</v>
      </c>
      <c r="K124" s="165">
        <v>45048</v>
      </c>
      <c r="L124" s="164">
        <v>547.79999999999995</v>
      </c>
      <c r="M124" s="163">
        <f t="shared" si="9"/>
        <v>-3.7342939987698776E-2</v>
      </c>
      <c r="O124" s="165">
        <v>45048</v>
      </c>
      <c r="P124" s="160">
        <v>102.71</v>
      </c>
      <c r="Q124" s="163">
        <f t="shared" si="10"/>
        <v>0.10846104036261606</v>
      </c>
      <c r="S124" s="165">
        <v>45048</v>
      </c>
      <c r="T124" s="160">
        <v>388.35</v>
      </c>
      <c r="U124" s="163">
        <f t="shared" si="11"/>
        <v>-1.2858428700013302E-3</v>
      </c>
      <c r="W124" s="165">
        <v>45048</v>
      </c>
      <c r="X124" s="162">
        <v>9181.4</v>
      </c>
      <c r="Y124" s="163">
        <f t="shared" si="12"/>
        <v>-7.9651162790697727E-2</v>
      </c>
      <c r="AA124" s="165">
        <v>45048</v>
      </c>
      <c r="AB124" s="164">
        <v>283.06</v>
      </c>
      <c r="AC124" s="163">
        <f t="shared" si="13"/>
        <v>1.3063240399412868E-2</v>
      </c>
    </row>
    <row r="125" spans="3:29">
      <c r="C125" s="164" t="s">
        <v>289</v>
      </c>
      <c r="D125" s="164">
        <v>545.25</v>
      </c>
      <c r="E125" s="163">
        <f t="shared" si="7"/>
        <v>-3.9207048458149818E-2</v>
      </c>
      <c r="G125" s="161">
        <v>44955</v>
      </c>
      <c r="H125" s="162">
        <v>17854.05</v>
      </c>
      <c r="I125" s="163">
        <f t="shared" si="8"/>
        <v>1.4183994296864233E-2</v>
      </c>
      <c r="K125" s="164" t="s">
        <v>289</v>
      </c>
      <c r="L125" s="164">
        <v>569.04999999999995</v>
      </c>
      <c r="M125" s="163">
        <f t="shared" si="9"/>
        <v>0.1019558481797056</v>
      </c>
      <c r="O125" s="164" t="s">
        <v>289</v>
      </c>
      <c r="P125" s="160">
        <v>92.66</v>
      </c>
      <c r="Q125" s="163">
        <f t="shared" si="10"/>
        <v>-2.0403848186911988E-2</v>
      </c>
      <c r="S125" s="164" t="s">
        <v>289</v>
      </c>
      <c r="T125" s="160">
        <v>388.85</v>
      </c>
      <c r="U125" s="163">
        <f t="shared" si="11"/>
        <v>3.0612244897959107E-2</v>
      </c>
      <c r="W125" s="164" t="s">
        <v>289</v>
      </c>
      <c r="X125" s="162">
        <v>9976</v>
      </c>
      <c r="Y125" s="163">
        <f t="shared" si="12"/>
        <v>-9.673944874893925E-3</v>
      </c>
      <c r="AA125" s="164" t="s">
        <v>289</v>
      </c>
      <c r="AB125" s="164">
        <v>279.41000000000003</v>
      </c>
      <c r="AC125" s="163">
        <f t="shared" si="13"/>
        <v>-3.2413339335803482E-2</v>
      </c>
    </row>
    <row r="126" spans="3:29">
      <c r="C126" s="164" t="s">
        <v>290</v>
      </c>
      <c r="D126" s="164">
        <v>567.5</v>
      </c>
      <c r="E126" s="163">
        <f t="shared" si="7"/>
        <v>-2.7087262129264489E-2</v>
      </c>
      <c r="G126" s="161">
        <v>44948</v>
      </c>
      <c r="H126" s="162">
        <v>17604.349999999999</v>
      </c>
      <c r="I126" s="163">
        <f t="shared" si="8"/>
        <v>-2.3480597859399488E-2</v>
      </c>
      <c r="K126" s="164" t="s">
        <v>290</v>
      </c>
      <c r="L126" s="164">
        <v>516.4</v>
      </c>
      <c r="M126" s="163">
        <f t="shared" si="9"/>
        <v>-2.9414528709707732E-2</v>
      </c>
      <c r="O126" s="164" t="s">
        <v>290</v>
      </c>
      <c r="P126" s="160">
        <v>94.59</v>
      </c>
      <c r="Q126" s="163">
        <f t="shared" si="10"/>
        <v>-5.2831783601015037E-4</v>
      </c>
      <c r="S126" s="164" t="s">
        <v>290</v>
      </c>
      <c r="T126" s="160">
        <v>377.3</v>
      </c>
      <c r="U126" s="163">
        <f t="shared" si="11"/>
        <v>-2.3550724637681042E-2</v>
      </c>
      <c r="W126" s="164" t="s">
        <v>290</v>
      </c>
      <c r="X126" s="162">
        <v>10073.450000000001</v>
      </c>
      <c r="Y126" s="163">
        <f t="shared" si="12"/>
        <v>-2.7222643367920907E-2</v>
      </c>
      <c r="AA126" s="164" t="s">
        <v>290</v>
      </c>
      <c r="AB126" s="164">
        <v>288.77</v>
      </c>
      <c r="AC126" s="163">
        <f t="shared" si="13"/>
        <v>-1.5559089966117323E-3</v>
      </c>
    </row>
    <row r="127" spans="3:29">
      <c r="C127" s="164" t="s">
        <v>291</v>
      </c>
      <c r="D127" s="164">
        <v>583.29999999999995</v>
      </c>
      <c r="E127" s="163">
        <f t="shared" si="7"/>
        <v>1.1356740355439987E-2</v>
      </c>
      <c r="G127" s="161">
        <v>44941</v>
      </c>
      <c r="H127" s="162">
        <v>18027.650000000001</v>
      </c>
      <c r="I127" s="163">
        <f t="shared" si="8"/>
        <v>3.9567624160476988E-3</v>
      </c>
      <c r="K127" s="164" t="s">
        <v>291</v>
      </c>
      <c r="L127" s="164">
        <v>532.04999999999995</v>
      </c>
      <c r="M127" s="163">
        <f t="shared" si="9"/>
        <v>2.36652236652235E-2</v>
      </c>
      <c r="O127" s="164" t="s">
        <v>291</v>
      </c>
      <c r="P127" s="160">
        <v>94.64</v>
      </c>
      <c r="Q127" s="163">
        <f t="shared" si="10"/>
        <v>8.0612011874857226E-2</v>
      </c>
      <c r="S127" s="164" t="s">
        <v>291</v>
      </c>
      <c r="T127" s="160">
        <v>386.4</v>
      </c>
      <c r="U127" s="163">
        <f t="shared" si="11"/>
        <v>-7.0666837980213337E-3</v>
      </c>
      <c r="W127" s="164" t="s">
        <v>291</v>
      </c>
      <c r="X127" s="162">
        <v>10355.35</v>
      </c>
      <c r="Y127" s="163">
        <f t="shared" si="12"/>
        <v>-4.5756251832412831E-3</v>
      </c>
      <c r="AA127" s="164" t="s">
        <v>291</v>
      </c>
      <c r="AB127" s="164">
        <v>289.22000000000003</v>
      </c>
      <c r="AC127" s="163">
        <f t="shared" si="13"/>
        <v>-2.121899218247647E-2</v>
      </c>
    </row>
    <row r="128" spans="3:29">
      <c r="C128" s="165">
        <v>45139</v>
      </c>
      <c r="D128" s="164">
        <v>576.75</v>
      </c>
      <c r="E128" s="163">
        <f t="shared" si="7"/>
        <v>-3.5535117056856191E-2</v>
      </c>
      <c r="G128" s="161">
        <v>44934</v>
      </c>
      <c r="H128" s="162">
        <v>17956.599999999999</v>
      </c>
      <c r="I128" s="163">
        <f t="shared" si="8"/>
        <v>5.4396971911228054E-3</v>
      </c>
      <c r="K128" s="165">
        <v>45139</v>
      </c>
      <c r="L128" s="164">
        <v>519.75</v>
      </c>
      <c r="M128" s="163">
        <f t="shared" si="9"/>
        <v>3.2815365312228728E-3</v>
      </c>
      <c r="O128" s="165">
        <v>45139</v>
      </c>
      <c r="P128" s="160">
        <v>87.58</v>
      </c>
      <c r="Q128" s="163">
        <f t="shared" si="10"/>
        <v>-8.9396854136020165E-3</v>
      </c>
      <c r="S128" s="165">
        <v>45139</v>
      </c>
      <c r="T128" s="160">
        <v>389.15</v>
      </c>
      <c r="U128" s="163">
        <f t="shared" si="11"/>
        <v>1.5659663317238781E-2</v>
      </c>
      <c r="W128" s="165">
        <v>45139</v>
      </c>
      <c r="X128" s="162">
        <v>10402.950000000001</v>
      </c>
      <c r="Y128" s="163">
        <f t="shared" si="12"/>
        <v>1.2546172152170021E-2</v>
      </c>
      <c r="AA128" s="165">
        <v>45139</v>
      </c>
      <c r="AB128" s="164">
        <v>295.49</v>
      </c>
      <c r="AC128" s="163">
        <f t="shared" si="13"/>
        <v>-8.1565520945220404E-3</v>
      </c>
    </row>
    <row r="129" spans="3:29">
      <c r="C129" s="165">
        <v>44927</v>
      </c>
      <c r="D129" s="164">
        <v>598</v>
      </c>
      <c r="E129" s="163">
        <f t="shared" si="7"/>
        <v>-2.055523708132001E-2</v>
      </c>
      <c r="G129" s="161">
        <v>44927</v>
      </c>
      <c r="H129" s="162">
        <v>17859.45</v>
      </c>
      <c r="I129" s="163">
        <f t="shared" si="8"/>
        <v>-1.3578896787128536E-2</v>
      </c>
      <c r="K129" s="165">
        <v>44927</v>
      </c>
      <c r="L129" s="164">
        <v>518.04999999999995</v>
      </c>
      <c r="M129" s="163">
        <f t="shared" si="9"/>
        <v>-2.1716551789255023E-2</v>
      </c>
      <c r="O129" s="165">
        <v>44927</v>
      </c>
      <c r="P129" s="160">
        <v>88.37</v>
      </c>
      <c r="Q129" s="163">
        <f t="shared" si="10"/>
        <v>5.2775792232547136E-2</v>
      </c>
      <c r="S129" s="165">
        <v>44927</v>
      </c>
      <c r="T129" s="160">
        <v>383.15</v>
      </c>
      <c r="U129" s="163">
        <f t="shared" si="11"/>
        <v>-5.70909562735189E-3</v>
      </c>
      <c r="W129" s="165">
        <v>44927</v>
      </c>
      <c r="X129" s="162">
        <v>10274.049999999999</v>
      </c>
      <c r="Y129" s="163">
        <f t="shared" si="12"/>
        <v>-2.2263989341454238E-2</v>
      </c>
      <c r="AA129" s="165">
        <v>44927</v>
      </c>
      <c r="AB129" s="164">
        <v>297.92</v>
      </c>
      <c r="AC129" s="163">
        <f t="shared" si="13"/>
        <v>-1.1414919033713833E-2</v>
      </c>
    </row>
    <row r="130" spans="3:29">
      <c r="C130" s="164" t="s">
        <v>292</v>
      </c>
      <c r="D130" s="164">
        <v>610.54999999999995</v>
      </c>
      <c r="E130" s="163">
        <f t="shared" si="7"/>
        <v>7.6902725108034087E-2</v>
      </c>
      <c r="G130" s="161">
        <v>44920</v>
      </c>
      <c r="H130" s="162">
        <v>18105.3</v>
      </c>
      <c r="I130" s="163">
        <f t="shared" si="8"/>
        <v>1.6763258979715534E-2</v>
      </c>
      <c r="K130" s="164" t="s">
        <v>292</v>
      </c>
      <c r="L130" s="164">
        <v>529.54999999999995</v>
      </c>
      <c r="M130" s="163">
        <f t="shared" si="9"/>
        <v>6.4743138634764108E-2</v>
      </c>
      <c r="O130" s="164" t="s">
        <v>292</v>
      </c>
      <c r="P130" s="160">
        <v>83.94</v>
      </c>
      <c r="Q130" s="163">
        <f t="shared" si="10"/>
        <v>6.3608717688798722E-2</v>
      </c>
      <c r="S130" s="164" t="s">
        <v>292</v>
      </c>
      <c r="T130" s="160">
        <v>385.35</v>
      </c>
      <c r="U130" s="163">
        <f t="shared" si="11"/>
        <v>2.4458327794762758E-2</v>
      </c>
      <c r="W130" s="164" t="s">
        <v>292</v>
      </c>
      <c r="X130" s="162">
        <v>10508</v>
      </c>
      <c r="Y130" s="163">
        <f t="shared" si="12"/>
        <v>1.1805033990024416E-2</v>
      </c>
      <c r="AA130" s="164" t="s">
        <v>292</v>
      </c>
      <c r="AB130" s="164">
        <v>301.36</v>
      </c>
      <c r="AC130" s="163">
        <f t="shared" si="13"/>
        <v>8.8714807003449359E-3</v>
      </c>
    </row>
    <row r="131" spans="3:29">
      <c r="C131" s="164" t="s">
        <v>293</v>
      </c>
      <c r="D131" s="164">
        <v>566.95000000000005</v>
      </c>
      <c r="E131" s="163">
        <f t="shared" si="7"/>
        <v>-0.21087062426056091</v>
      </c>
      <c r="G131" s="161">
        <v>44913</v>
      </c>
      <c r="H131" s="162">
        <v>17806.8</v>
      </c>
      <c r="I131" s="163">
        <f t="shared" si="8"/>
        <v>-2.5299687996058973E-2</v>
      </c>
      <c r="K131" s="164" t="s">
        <v>293</v>
      </c>
      <c r="L131" s="164">
        <v>497.35</v>
      </c>
      <c r="M131" s="163">
        <f t="shared" si="9"/>
        <v>-2.5186201489611815E-2</v>
      </c>
      <c r="O131" s="164" t="s">
        <v>293</v>
      </c>
      <c r="P131" s="160">
        <v>78.92</v>
      </c>
      <c r="Q131" s="163">
        <f t="shared" si="10"/>
        <v>-9.1829689298043804E-2</v>
      </c>
      <c r="S131" s="164" t="s">
        <v>293</v>
      </c>
      <c r="T131" s="160">
        <v>376.15</v>
      </c>
      <c r="U131" s="163">
        <f t="shared" si="11"/>
        <v>-4.2875318066157853E-2</v>
      </c>
      <c r="W131" s="164" t="s">
        <v>293</v>
      </c>
      <c r="X131" s="162">
        <v>10385.4</v>
      </c>
      <c r="Y131" s="163">
        <f t="shared" si="12"/>
        <v>-7.1550857117314459E-2</v>
      </c>
      <c r="AA131" s="164" t="s">
        <v>293</v>
      </c>
      <c r="AB131" s="164">
        <v>298.70999999999998</v>
      </c>
      <c r="AC131" s="163">
        <f t="shared" si="13"/>
        <v>-6.1693105073032939E-2</v>
      </c>
    </row>
    <row r="132" spans="3:29">
      <c r="C132" s="165">
        <v>44877</v>
      </c>
      <c r="D132" s="164">
        <v>718.45</v>
      </c>
      <c r="E132" s="163">
        <f t="shared" si="7"/>
        <v>5.2905400454312357E-2</v>
      </c>
      <c r="G132" s="161">
        <v>44906</v>
      </c>
      <c r="H132" s="162">
        <v>18269</v>
      </c>
      <c r="I132" s="163">
        <f t="shared" si="8"/>
        <v>-1.2304964155574472E-2</v>
      </c>
      <c r="K132" s="165">
        <v>44877</v>
      </c>
      <c r="L132" s="164">
        <v>510.2</v>
      </c>
      <c r="M132" s="163">
        <f t="shared" si="9"/>
        <v>-1.8585542404382371E-3</v>
      </c>
      <c r="O132" s="165">
        <v>44877</v>
      </c>
      <c r="P132" s="160">
        <v>86.9</v>
      </c>
      <c r="Q132" s="163">
        <f t="shared" si="10"/>
        <v>3.0009233610341912E-3</v>
      </c>
      <c r="S132" s="165">
        <v>44877</v>
      </c>
      <c r="T132" s="160">
        <v>393</v>
      </c>
      <c r="U132" s="163">
        <f t="shared" si="11"/>
        <v>-2.0194465220643276E-2</v>
      </c>
      <c r="W132" s="165">
        <v>44877</v>
      </c>
      <c r="X132" s="162">
        <v>11185.75</v>
      </c>
      <c r="Y132" s="163">
        <f t="shared" si="12"/>
        <v>-2.2779889049054258E-2</v>
      </c>
      <c r="AA132" s="165">
        <v>44877</v>
      </c>
      <c r="AB132" s="164">
        <v>318.35000000000002</v>
      </c>
      <c r="AC132" s="163">
        <f t="shared" si="13"/>
        <v>5.3428876736449915E-4</v>
      </c>
    </row>
    <row r="133" spans="3:29">
      <c r="C133" s="165">
        <v>44663</v>
      </c>
      <c r="D133" s="164">
        <v>682.35</v>
      </c>
      <c r="E133" s="163">
        <f t="shared" si="7"/>
        <v>-5.3540467438796036E-2</v>
      </c>
      <c r="G133" s="161">
        <v>44899</v>
      </c>
      <c r="H133" s="162">
        <v>18496.599999999999</v>
      </c>
      <c r="I133" s="163">
        <f t="shared" si="8"/>
        <v>-1.0670674632677457E-2</v>
      </c>
      <c r="K133" s="165">
        <v>44663</v>
      </c>
      <c r="L133" s="164">
        <v>511.15</v>
      </c>
      <c r="M133" s="163">
        <f t="shared" si="9"/>
        <v>-3.5201963004907522E-2</v>
      </c>
      <c r="O133" s="165">
        <v>44663</v>
      </c>
      <c r="P133" s="160">
        <v>86.64</v>
      </c>
      <c r="Q133" s="163">
        <f t="shared" si="10"/>
        <v>3.707136237256714E-3</v>
      </c>
      <c r="S133" s="165">
        <v>44663</v>
      </c>
      <c r="T133" s="160">
        <v>401.1</v>
      </c>
      <c r="U133" s="163">
        <f t="shared" si="11"/>
        <v>9.8187311178248304E-3</v>
      </c>
      <c r="W133" s="165">
        <v>44663</v>
      </c>
      <c r="X133" s="162">
        <v>11446.5</v>
      </c>
      <c r="Y133" s="163">
        <f t="shared" si="12"/>
        <v>-2.5883674520132849E-2</v>
      </c>
      <c r="AA133" s="165">
        <v>44663</v>
      </c>
      <c r="AB133" s="164">
        <v>318.18</v>
      </c>
      <c r="AC133" s="163">
        <f t="shared" si="13"/>
        <v>-1.3915145504695192E-2</v>
      </c>
    </row>
    <row r="134" spans="3:29">
      <c r="C134" s="164" t="s">
        <v>294</v>
      </c>
      <c r="D134" s="164">
        <v>720.95</v>
      </c>
      <c r="E134" s="163">
        <f t="shared" si="7"/>
        <v>5.2712272760458534E-2</v>
      </c>
      <c r="G134" s="161">
        <v>44892</v>
      </c>
      <c r="H134" s="162">
        <v>18696.099999999999</v>
      </c>
      <c r="I134" s="163">
        <f t="shared" si="8"/>
        <v>9.9039850913558158E-3</v>
      </c>
      <c r="K134" s="164" t="s">
        <v>294</v>
      </c>
      <c r="L134" s="164">
        <v>529.79999999999995</v>
      </c>
      <c r="M134" s="163">
        <f t="shared" si="9"/>
        <v>4.6828689982216787E-2</v>
      </c>
      <c r="O134" s="164" t="s">
        <v>294</v>
      </c>
      <c r="P134" s="160">
        <v>86.32</v>
      </c>
      <c r="Q134" s="163">
        <f t="shared" si="10"/>
        <v>1.2670107930549124E-2</v>
      </c>
      <c r="S134" s="164" t="s">
        <v>294</v>
      </c>
      <c r="T134" s="160">
        <v>397.2</v>
      </c>
      <c r="U134" s="163">
        <f t="shared" si="11"/>
        <v>2.121095256459693E-2</v>
      </c>
      <c r="W134" s="164" t="s">
        <v>294</v>
      </c>
      <c r="X134" s="162">
        <v>11750.65</v>
      </c>
      <c r="Y134" s="163">
        <f t="shared" si="12"/>
        <v>-1.7430241406125924E-2</v>
      </c>
      <c r="AA134" s="164" t="s">
        <v>294</v>
      </c>
      <c r="AB134" s="164">
        <v>322.67</v>
      </c>
      <c r="AC134" s="163">
        <f t="shared" si="13"/>
        <v>2.1689570008232684E-2</v>
      </c>
    </row>
    <row r="135" spans="3:29">
      <c r="C135" s="164" t="s">
        <v>295</v>
      </c>
      <c r="D135" s="164">
        <v>684.85</v>
      </c>
      <c r="E135" s="163">
        <f t="shared" si="7"/>
        <v>0.17692043306410055</v>
      </c>
      <c r="G135" s="161">
        <v>44885</v>
      </c>
      <c r="H135" s="162">
        <v>18512.75</v>
      </c>
      <c r="I135" s="163">
        <f t="shared" si="8"/>
        <v>1.1202967065680136E-2</v>
      </c>
      <c r="K135" s="164" t="s">
        <v>295</v>
      </c>
      <c r="L135" s="164">
        <v>506.1</v>
      </c>
      <c r="M135" s="163">
        <f t="shared" si="9"/>
        <v>1.6265060240963969E-2</v>
      </c>
      <c r="O135" s="164" t="s">
        <v>295</v>
      </c>
      <c r="P135" s="160">
        <v>85.24</v>
      </c>
      <c r="Q135" s="163">
        <f t="shared" si="10"/>
        <v>4.3968156766686972E-2</v>
      </c>
      <c r="S135" s="164" t="s">
        <v>295</v>
      </c>
      <c r="T135" s="160">
        <v>388.95</v>
      </c>
      <c r="U135" s="163">
        <f t="shared" si="11"/>
        <v>-8.2881395897194121E-2</v>
      </c>
      <c r="W135" s="164" t="s">
        <v>295</v>
      </c>
      <c r="X135" s="162">
        <v>11959.1</v>
      </c>
      <c r="Y135" s="163">
        <f t="shared" si="12"/>
        <v>1.4635349805769415E-4</v>
      </c>
      <c r="AA135" s="164" t="s">
        <v>295</v>
      </c>
      <c r="AB135" s="164">
        <v>315.82</v>
      </c>
      <c r="AC135" s="163">
        <f t="shared" si="13"/>
        <v>1.3315365611062946E-2</v>
      </c>
    </row>
    <row r="136" spans="3:29">
      <c r="C136" s="164" t="s">
        <v>296</v>
      </c>
      <c r="D136" s="164">
        <v>581.9</v>
      </c>
      <c r="E136" s="163">
        <f t="shared" si="7"/>
        <v>4.0593705293275884E-2</v>
      </c>
      <c r="G136" s="161">
        <v>44878</v>
      </c>
      <c r="H136" s="162">
        <v>18307.650000000001</v>
      </c>
      <c r="I136" s="163">
        <f t="shared" si="8"/>
        <v>-2.2915905982113793E-3</v>
      </c>
      <c r="K136" s="164" t="s">
        <v>296</v>
      </c>
      <c r="L136" s="164">
        <v>498</v>
      </c>
      <c r="M136" s="163">
        <f t="shared" si="9"/>
        <v>-1.6684766511995242E-2</v>
      </c>
      <c r="O136" s="164" t="s">
        <v>296</v>
      </c>
      <c r="P136" s="160">
        <v>81.650000000000006</v>
      </c>
      <c r="Q136" s="163">
        <f t="shared" si="10"/>
        <v>-7.1741245136185405E-3</v>
      </c>
      <c r="S136" s="164" t="s">
        <v>296</v>
      </c>
      <c r="T136" s="160">
        <v>424.1</v>
      </c>
      <c r="U136" s="163">
        <f t="shared" si="11"/>
        <v>-4.3958521190261446E-2</v>
      </c>
      <c r="W136" s="164" t="s">
        <v>296</v>
      </c>
      <c r="X136" s="162">
        <v>11957.35</v>
      </c>
      <c r="Y136" s="163">
        <f t="shared" si="12"/>
        <v>-1.3130908805797148E-2</v>
      </c>
      <c r="AA136" s="164" t="s">
        <v>296</v>
      </c>
      <c r="AB136" s="164">
        <v>311.67</v>
      </c>
      <c r="AC136" s="163">
        <f t="shared" si="13"/>
        <v>-3.6241071152478321E-2</v>
      </c>
    </row>
    <row r="137" spans="3:29">
      <c r="C137" s="165">
        <v>44723</v>
      </c>
      <c r="D137" s="164">
        <v>559.20000000000005</v>
      </c>
      <c r="E137" s="163">
        <f t="shared" si="7"/>
        <v>0.16865203761755487</v>
      </c>
      <c r="G137" s="161">
        <v>44871</v>
      </c>
      <c r="H137" s="162">
        <v>18349.7</v>
      </c>
      <c r="I137" s="163">
        <f t="shared" si="8"/>
        <v>1.2835904101914375E-2</v>
      </c>
      <c r="K137" s="165">
        <v>44723</v>
      </c>
      <c r="L137" s="164">
        <v>506.45</v>
      </c>
      <c r="M137" s="163">
        <f t="shared" si="9"/>
        <v>1.1989209711259941E-2</v>
      </c>
      <c r="O137" s="165">
        <v>44723</v>
      </c>
      <c r="P137" s="160">
        <v>82.24</v>
      </c>
      <c r="Q137" s="163">
        <f t="shared" si="10"/>
        <v>6.4871164055418706E-2</v>
      </c>
      <c r="S137" s="165">
        <v>44723</v>
      </c>
      <c r="T137" s="160">
        <v>443.6</v>
      </c>
      <c r="U137" s="163">
        <f t="shared" si="11"/>
        <v>1.7081279376361502E-2</v>
      </c>
      <c r="W137" s="165">
        <v>44723</v>
      </c>
      <c r="X137" s="162">
        <v>12116.45</v>
      </c>
      <c r="Y137" s="163">
        <f t="shared" si="12"/>
        <v>7.0438923842848222E-3</v>
      </c>
      <c r="AA137" s="165">
        <v>44723</v>
      </c>
      <c r="AB137" s="164">
        <v>323.39</v>
      </c>
      <c r="AC137" s="163">
        <f t="shared" si="13"/>
        <v>-7.9316725978647695E-2</v>
      </c>
    </row>
    <row r="138" spans="3:29">
      <c r="C138" s="164" t="s">
        <v>297</v>
      </c>
      <c r="D138" s="164">
        <v>478.5</v>
      </c>
      <c r="E138" s="163">
        <f t="shared" si="7"/>
        <v>-3.5962526443034215E-2</v>
      </c>
      <c r="G138" s="161">
        <v>44864</v>
      </c>
      <c r="H138" s="162">
        <v>18117.150000000001</v>
      </c>
      <c r="I138" s="163">
        <f t="shared" si="8"/>
        <v>1.8572761823374861E-2</v>
      </c>
      <c r="K138" s="164" t="s">
        <v>297</v>
      </c>
      <c r="L138" s="164">
        <v>500.45</v>
      </c>
      <c r="M138" s="163">
        <f t="shared" si="9"/>
        <v>1.6038980814130577E-2</v>
      </c>
      <c r="O138" s="164" t="s">
        <v>297</v>
      </c>
      <c r="P138" s="160">
        <v>77.23</v>
      </c>
      <c r="Q138" s="163">
        <f t="shared" si="10"/>
        <v>9.9385379887537706E-3</v>
      </c>
      <c r="S138" s="164" t="s">
        <v>297</v>
      </c>
      <c r="T138" s="160">
        <v>436.15</v>
      </c>
      <c r="U138" s="163">
        <f t="shared" si="11"/>
        <v>-2.142696881310302E-2</v>
      </c>
      <c r="W138" s="164" t="s">
        <v>297</v>
      </c>
      <c r="X138" s="162">
        <v>12031.7</v>
      </c>
      <c r="Y138" s="163">
        <f t="shared" si="12"/>
        <v>1.563330941628327E-2</v>
      </c>
      <c r="AA138" s="164" t="s">
        <v>297</v>
      </c>
      <c r="AB138" s="164">
        <v>351.25</v>
      </c>
      <c r="AC138" s="163">
        <f t="shared" si="13"/>
        <v>-8.1045973116458114E-3</v>
      </c>
    </row>
    <row r="139" spans="3:29">
      <c r="C139" s="164" t="s">
        <v>298</v>
      </c>
      <c r="D139" s="164">
        <v>496.35</v>
      </c>
      <c r="E139" s="163">
        <f t="shared" si="7"/>
        <v>4.2204724409448779E-2</v>
      </c>
      <c r="G139" s="161">
        <v>44857</v>
      </c>
      <c r="H139" s="162">
        <v>17786.8</v>
      </c>
      <c r="I139" s="163">
        <f t="shared" si="8"/>
        <v>1.1976354522851729E-2</v>
      </c>
      <c r="K139" s="164" t="s">
        <v>298</v>
      </c>
      <c r="L139" s="164">
        <v>492.55</v>
      </c>
      <c r="M139" s="163">
        <f t="shared" si="9"/>
        <v>2.3480519480519435E-2</v>
      </c>
      <c r="O139" s="164" t="s">
        <v>298</v>
      </c>
      <c r="P139" s="160">
        <v>76.47</v>
      </c>
      <c r="Q139" s="163">
        <f t="shared" si="10"/>
        <v>-6.7541239121963192E-3</v>
      </c>
      <c r="S139" s="164" t="s">
        <v>298</v>
      </c>
      <c r="T139" s="160">
        <v>445.7</v>
      </c>
      <c r="U139" s="163">
        <f t="shared" si="11"/>
        <v>-2.9187540840775461E-2</v>
      </c>
      <c r="W139" s="164" t="s">
        <v>298</v>
      </c>
      <c r="X139" s="162">
        <v>11846.5</v>
      </c>
      <c r="Y139" s="163">
        <f t="shared" si="12"/>
        <v>-1.4512164180035758E-2</v>
      </c>
      <c r="AA139" s="164" t="s">
        <v>298</v>
      </c>
      <c r="AB139" s="164">
        <v>354.12</v>
      </c>
      <c r="AC139" s="163">
        <f t="shared" si="13"/>
        <v>3.3414071847550186E-2</v>
      </c>
    </row>
    <row r="140" spans="3:29">
      <c r="C140" s="164" t="s">
        <v>299</v>
      </c>
      <c r="D140" s="164">
        <v>476.25</v>
      </c>
      <c r="E140" s="163">
        <f t="shared" si="7"/>
        <v>-3.9736484366830194E-3</v>
      </c>
      <c r="G140" s="161">
        <v>44850</v>
      </c>
      <c r="H140" s="162">
        <v>17576.3</v>
      </c>
      <c r="I140" s="163">
        <f t="shared" si="8"/>
        <v>2.2728198444055048E-2</v>
      </c>
      <c r="K140" s="164" t="s">
        <v>299</v>
      </c>
      <c r="L140" s="164">
        <v>481.25</v>
      </c>
      <c r="M140" s="163">
        <f t="shared" si="9"/>
        <v>-1.845808688558026E-2</v>
      </c>
      <c r="O140" s="164" t="s">
        <v>299</v>
      </c>
      <c r="P140" s="160">
        <v>76.989999999999995</v>
      </c>
      <c r="Q140" s="163">
        <f t="shared" si="10"/>
        <v>2.0816759480243974E-2</v>
      </c>
      <c r="S140" s="164" t="s">
        <v>299</v>
      </c>
      <c r="T140" s="160">
        <v>459.1</v>
      </c>
      <c r="U140" s="163">
        <f t="shared" si="11"/>
        <v>-4.2644145553122681E-2</v>
      </c>
      <c r="W140" s="164" t="s">
        <v>299</v>
      </c>
      <c r="X140" s="162">
        <v>12020.95</v>
      </c>
      <c r="Y140" s="163">
        <f t="shared" si="12"/>
        <v>2.0840366957182166E-3</v>
      </c>
      <c r="AA140" s="164" t="s">
        <v>299</v>
      </c>
      <c r="AB140" s="164">
        <v>342.67</v>
      </c>
      <c r="AC140" s="163">
        <f t="shared" si="13"/>
        <v>-1.2051319013983042E-2</v>
      </c>
    </row>
    <row r="141" spans="3:29">
      <c r="C141" s="165">
        <v>44814</v>
      </c>
      <c r="D141" s="164">
        <v>478.15</v>
      </c>
      <c r="E141" s="163">
        <f t="shared" ref="E141:E204" si="14">D141/D142-1</f>
        <v>1.3029661016949134E-2</v>
      </c>
      <c r="G141" s="161">
        <v>44843</v>
      </c>
      <c r="H141" s="162">
        <v>17185.7</v>
      </c>
      <c r="I141" s="163">
        <f t="shared" ref="I141:I204" si="15">H141/H142-1</f>
        <v>-7.4474505693156168E-3</v>
      </c>
      <c r="K141" s="165">
        <v>44814</v>
      </c>
      <c r="L141" s="164">
        <v>490.3</v>
      </c>
      <c r="M141" s="163">
        <f t="shared" ref="M141:M204" si="16">L141/L142-1</f>
        <v>-3.1984205330700899E-2</v>
      </c>
      <c r="O141" s="165">
        <v>44814</v>
      </c>
      <c r="P141" s="160">
        <v>75.42</v>
      </c>
      <c r="Q141" s="163">
        <f t="shared" ref="Q141:Q204" si="17">P141/P142-1</f>
        <v>7.9617834394918319E-4</v>
      </c>
      <c r="S141" s="165">
        <v>44814</v>
      </c>
      <c r="T141" s="160">
        <v>479.55</v>
      </c>
      <c r="U141" s="163">
        <f t="shared" ref="U141:U204" si="18">T141/T142-1</f>
        <v>-2.1326530612244876E-2</v>
      </c>
      <c r="W141" s="165">
        <v>44814</v>
      </c>
      <c r="X141" s="162">
        <v>11995.95</v>
      </c>
      <c r="Y141" s="163">
        <f t="shared" ref="Y141:Y204" si="19">X141/X142-1</f>
        <v>-4.7021532668406363E-2</v>
      </c>
      <c r="AA141" s="165">
        <v>44814</v>
      </c>
      <c r="AB141" s="164">
        <v>346.85</v>
      </c>
      <c r="AC141" s="163">
        <f t="shared" ref="AC141:AC204" si="20">AB141/AB142-1</f>
        <v>-4.020100502512447E-3</v>
      </c>
    </row>
    <row r="142" spans="3:29">
      <c r="C142" s="165">
        <v>44602</v>
      </c>
      <c r="D142" s="164">
        <v>472</v>
      </c>
      <c r="E142" s="163">
        <f t="shared" si="14"/>
        <v>7.6857386848847575E-3</v>
      </c>
      <c r="G142" s="161">
        <v>44836</v>
      </c>
      <c r="H142" s="162">
        <v>17314.650000000001</v>
      </c>
      <c r="I142" s="163">
        <f t="shared" si="15"/>
        <v>1.2887299019851861E-2</v>
      </c>
      <c r="K142" s="165">
        <v>44602</v>
      </c>
      <c r="L142" s="164">
        <v>506.5</v>
      </c>
      <c r="M142" s="163">
        <f t="shared" si="16"/>
        <v>7.9601990049751326E-3</v>
      </c>
      <c r="O142" s="165">
        <v>44602</v>
      </c>
      <c r="P142" s="160">
        <v>75.36</v>
      </c>
      <c r="Q142" s="163">
        <f t="shared" si="17"/>
        <v>3.9018337239762779E-2</v>
      </c>
      <c r="S142" s="165">
        <v>44602</v>
      </c>
      <c r="T142" s="160">
        <v>490</v>
      </c>
      <c r="U142" s="163">
        <f t="shared" si="18"/>
        <v>4.6226112949717013E-2</v>
      </c>
      <c r="W142" s="165">
        <v>44602</v>
      </c>
      <c r="X142" s="162">
        <v>12587.85</v>
      </c>
      <c r="Y142" s="163">
        <f t="shared" si="19"/>
        <v>5.5589331611453296E-2</v>
      </c>
      <c r="AA142" s="165">
        <v>44602</v>
      </c>
      <c r="AB142" s="164">
        <v>348.25</v>
      </c>
      <c r="AC142" s="163">
        <f t="shared" si="20"/>
        <v>7.2330336248306537E-2</v>
      </c>
    </row>
    <row r="143" spans="3:29">
      <c r="C143" s="164" t="s">
        <v>300</v>
      </c>
      <c r="D143" s="164">
        <v>468.4</v>
      </c>
      <c r="E143" s="163">
        <f t="shared" si="14"/>
        <v>1.2866255811438965E-2</v>
      </c>
      <c r="G143" s="161">
        <v>44829</v>
      </c>
      <c r="H143" s="162">
        <v>17094.349999999999</v>
      </c>
      <c r="I143" s="163">
        <f t="shared" si="15"/>
        <v>-1.3446949475828696E-2</v>
      </c>
      <c r="K143" s="164" t="s">
        <v>300</v>
      </c>
      <c r="L143" s="164">
        <v>502.5</v>
      </c>
      <c r="M143" s="163">
        <f t="shared" si="16"/>
        <v>-1.1118764144445459E-2</v>
      </c>
      <c r="O143" s="164" t="s">
        <v>300</v>
      </c>
      <c r="P143" s="160">
        <v>72.53</v>
      </c>
      <c r="Q143" s="163">
        <f t="shared" si="17"/>
        <v>1.525755879059365E-2</v>
      </c>
      <c r="S143" s="164" t="s">
        <v>300</v>
      </c>
      <c r="T143" s="160">
        <v>468.35</v>
      </c>
      <c r="U143" s="163">
        <f t="shared" si="18"/>
        <v>3.5354617527321164E-3</v>
      </c>
      <c r="W143" s="164" t="s">
        <v>300</v>
      </c>
      <c r="X143" s="162">
        <v>11924.95</v>
      </c>
      <c r="Y143" s="163">
        <f t="shared" si="19"/>
        <v>-2.0497761715060125E-2</v>
      </c>
      <c r="AA143" s="164" t="s">
        <v>300</v>
      </c>
      <c r="AB143" s="164">
        <v>324.76</v>
      </c>
      <c r="AC143" s="163">
        <f t="shared" si="20"/>
        <v>1.401942111343546E-2</v>
      </c>
    </row>
    <row r="144" spans="3:29">
      <c r="C144" s="164" t="s">
        <v>301</v>
      </c>
      <c r="D144" s="164">
        <v>462.45</v>
      </c>
      <c r="E144" s="163">
        <f t="shared" si="14"/>
        <v>-2.3749208359721385E-2</v>
      </c>
      <c r="G144" s="161">
        <v>44822</v>
      </c>
      <c r="H144" s="162">
        <v>17327.349999999999</v>
      </c>
      <c r="I144" s="163">
        <f t="shared" si="15"/>
        <v>-1.1608107992481798E-2</v>
      </c>
      <c r="K144" s="164" t="s">
        <v>301</v>
      </c>
      <c r="L144" s="164">
        <v>508.15</v>
      </c>
      <c r="M144" s="163">
        <f t="shared" si="16"/>
        <v>-3.3659788913188216E-2</v>
      </c>
      <c r="O144" s="164" t="s">
        <v>301</v>
      </c>
      <c r="P144" s="160">
        <v>71.44</v>
      </c>
      <c r="Q144" s="163">
        <f t="shared" si="17"/>
        <v>-2.3910370269162429E-2</v>
      </c>
      <c r="S144" s="164" t="s">
        <v>301</v>
      </c>
      <c r="T144" s="160">
        <v>466.7</v>
      </c>
      <c r="U144" s="163">
        <f t="shared" si="18"/>
        <v>-7.1428571428571508E-2</v>
      </c>
      <c r="W144" s="164" t="s">
        <v>301</v>
      </c>
      <c r="X144" s="162">
        <v>12174.5</v>
      </c>
      <c r="Y144" s="163">
        <f t="shared" si="19"/>
        <v>1.1267687528293768E-2</v>
      </c>
      <c r="AA144" s="164" t="s">
        <v>301</v>
      </c>
      <c r="AB144" s="164">
        <v>320.27</v>
      </c>
      <c r="AC144" s="163">
        <f t="shared" si="20"/>
        <v>-2.2464365290113864E-2</v>
      </c>
    </row>
    <row r="145" spans="3:29">
      <c r="C145" s="165">
        <v>44874</v>
      </c>
      <c r="D145" s="164">
        <v>473.7</v>
      </c>
      <c r="E145" s="163">
        <f t="shared" si="14"/>
        <v>-3.0495292672943153E-2</v>
      </c>
      <c r="G145" s="161">
        <v>44815</v>
      </c>
      <c r="H145" s="162">
        <v>17530.849999999999</v>
      </c>
      <c r="I145" s="163">
        <f t="shared" si="15"/>
        <v>-1.6962600969531838E-2</v>
      </c>
      <c r="K145" s="165">
        <v>44874</v>
      </c>
      <c r="L145" s="164">
        <v>525.85</v>
      </c>
      <c r="M145" s="163">
        <f t="shared" si="16"/>
        <v>5.3279919879819726E-2</v>
      </c>
      <c r="O145" s="165">
        <v>44874</v>
      </c>
      <c r="P145" s="160">
        <v>73.19</v>
      </c>
      <c r="Q145" s="163">
        <f t="shared" si="17"/>
        <v>-3.4560084421580317E-2</v>
      </c>
      <c r="S145" s="165">
        <v>44874</v>
      </c>
      <c r="T145" s="160">
        <v>502.6</v>
      </c>
      <c r="U145" s="163">
        <f t="shared" si="18"/>
        <v>5.7437407952871888E-2</v>
      </c>
      <c r="W145" s="165">
        <v>44874</v>
      </c>
      <c r="X145" s="162">
        <v>12038.85</v>
      </c>
      <c r="Y145" s="163">
        <f t="shared" si="19"/>
        <v>6.1763734909046075E-3</v>
      </c>
      <c r="AA145" s="165">
        <v>44874</v>
      </c>
      <c r="AB145" s="164">
        <v>327.63</v>
      </c>
      <c r="AC145" s="163">
        <f t="shared" si="20"/>
        <v>-8.9836660617060859E-3</v>
      </c>
    </row>
    <row r="146" spans="3:29">
      <c r="C146" s="165">
        <v>44660</v>
      </c>
      <c r="D146" s="164">
        <v>488.6</v>
      </c>
      <c r="E146" s="163">
        <f t="shared" si="14"/>
        <v>8.6381322957198581E-2</v>
      </c>
      <c r="G146" s="161">
        <v>44808</v>
      </c>
      <c r="H146" s="162">
        <v>17833.349999999999</v>
      </c>
      <c r="I146" s="163">
        <f t="shared" si="15"/>
        <v>1.6756511749228098E-2</v>
      </c>
      <c r="K146" s="165">
        <v>44660</v>
      </c>
      <c r="L146" s="164">
        <v>499.25</v>
      </c>
      <c r="M146" s="163">
        <f t="shared" si="16"/>
        <v>2.3053278688524692E-2</v>
      </c>
      <c r="O146" s="165">
        <v>44660</v>
      </c>
      <c r="P146" s="160">
        <v>75.81</v>
      </c>
      <c r="Q146" s="163">
        <f t="shared" si="17"/>
        <v>9.2363112391930846E-2</v>
      </c>
      <c r="S146" s="165">
        <v>44660</v>
      </c>
      <c r="T146" s="160">
        <v>475.3</v>
      </c>
      <c r="U146" s="163">
        <f t="shared" si="18"/>
        <v>2.160128962923169E-2</v>
      </c>
      <c r="W146" s="165">
        <v>44660</v>
      </c>
      <c r="X146" s="162">
        <v>11964.95</v>
      </c>
      <c r="Y146" s="163">
        <f t="shared" si="19"/>
        <v>-4.076658823340773E-2</v>
      </c>
      <c r="AA146" s="165">
        <v>44660</v>
      </c>
      <c r="AB146" s="164">
        <v>330.6</v>
      </c>
      <c r="AC146" s="163">
        <f t="shared" si="20"/>
        <v>1.8139262726740935E-2</v>
      </c>
    </row>
    <row r="147" spans="3:29">
      <c r="C147" s="164" t="s">
        <v>302</v>
      </c>
      <c r="D147" s="164">
        <v>449.75</v>
      </c>
      <c r="E147" s="163">
        <f t="shared" si="14"/>
        <v>4.9156518824711171E-3</v>
      </c>
      <c r="G147" s="161">
        <v>44801</v>
      </c>
      <c r="H147" s="162">
        <v>17539.45</v>
      </c>
      <c r="I147" s="163">
        <f t="shared" si="15"/>
        <v>-1.1077003684741848E-3</v>
      </c>
      <c r="K147" s="164" t="s">
        <v>302</v>
      </c>
      <c r="L147" s="164">
        <v>488</v>
      </c>
      <c r="M147" s="163">
        <f t="shared" si="16"/>
        <v>2.2096554613048491E-2</v>
      </c>
      <c r="O147" s="164" t="s">
        <v>302</v>
      </c>
      <c r="P147" s="160">
        <v>69.400000000000006</v>
      </c>
      <c r="Q147" s="163">
        <f t="shared" si="17"/>
        <v>-2.0465772759350576E-2</v>
      </c>
      <c r="S147" s="164" t="s">
        <v>302</v>
      </c>
      <c r="T147" s="160">
        <v>465.25</v>
      </c>
      <c r="U147" s="163">
        <f t="shared" si="18"/>
        <v>-2.5726230035373332E-3</v>
      </c>
      <c r="W147" s="164" t="s">
        <v>302</v>
      </c>
      <c r="X147" s="162">
        <v>12473.45</v>
      </c>
      <c r="Y147" s="163">
        <f t="shared" si="19"/>
        <v>-4.8380328969452768E-2</v>
      </c>
      <c r="AA147" s="164" t="s">
        <v>302</v>
      </c>
      <c r="AB147" s="164">
        <v>324.70999999999998</v>
      </c>
      <c r="AC147" s="163">
        <f t="shared" si="20"/>
        <v>1.1053680408519062E-2</v>
      </c>
    </row>
    <row r="148" spans="3:29">
      <c r="C148" s="164" t="s">
        <v>303</v>
      </c>
      <c r="D148" s="164">
        <v>447.55</v>
      </c>
      <c r="E148" s="163">
        <f t="shared" si="14"/>
        <v>6.7756173207682346E-2</v>
      </c>
      <c r="G148" s="161">
        <v>44794</v>
      </c>
      <c r="H148" s="162">
        <v>17558.900000000001</v>
      </c>
      <c r="I148" s="163">
        <f t="shared" si="15"/>
        <v>-1.1236904121699753E-2</v>
      </c>
      <c r="K148" s="164" t="s">
        <v>303</v>
      </c>
      <c r="L148" s="164">
        <v>477.45</v>
      </c>
      <c r="M148" s="163">
        <f t="shared" si="16"/>
        <v>0.14318209026697004</v>
      </c>
      <c r="O148" s="164" t="s">
        <v>303</v>
      </c>
      <c r="P148" s="160">
        <v>70.849999999999994</v>
      </c>
      <c r="Q148" s="163">
        <f t="shared" si="17"/>
        <v>-5.642544787700654E-4</v>
      </c>
      <c r="S148" s="164" t="s">
        <v>303</v>
      </c>
      <c r="T148" s="160">
        <v>466.45</v>
      </c>
      <c r="U148" s="163">
        <f t="shared" si="18"/>
        <v>2.5792584631918469E-3</v>
      </c>
      <c r="W148" s="164" t="s">
        <v>303</v>
      </c>
      <c r="X148" s="162">
        <v>13107.6</v>
      </c>
      <c r="Y148" s="163">
        <f t="shared" si="19"/>
        <v>6.2376398119630361E-2</v>
      </c>
      <c r="AA148" s="164" t="s">
        <v>303</v>
      </c>
      <c r="AB148" s="164">
        <v>321.16000000000003</v>
      </c>
      <c r="AC148" s="163">
        <f t="shared" si="20"/>
        <v>-3.1968714112790009E-3</v>
      </c>
    </row>
    <row r="149" spans="3:29">
      <c r="C149" s="164" t="s">
        <v>304</v>
      </c>
      <c r="D149" s="164">
        <v>419.15</v>
      </c>
      <c r="E149" s="163">
        <f t="shared" si="14"/>
        <v>9.2704069347457896E-3</v>
      </c>
      <c r="G149" s="161">
        <v>44787</v>
      </c>
      <c r="H149" s="162">
        <v>17758.45</v>
      </c>
      <c r="I149" s="163">
        <f t="shared" si="15"/>
        <v>3.4071357740781405E-3</v>
      </c>
      <c r="K149" s="164" t="s">
        <v>304</v>
      </c>
      <c r="L149" s="164">
        <v>417.65</v>
      </c>
      <c r="M149" s="163">
        <f t="shared" si="16"/>
        <v>-5.0903306442449781E-2</v>
      </c>
      <c r="O149" s="164" t="s">
        <v>304</v>
      </c>
      <c r="P149" s="160">
        <v>70.89</v>
      </c>
      <c r="Q149" s="163">
        <f t="shared" si="17"/>
        <v>9.9729306168969689E-3</v>
      </c>
      <c r="S149" s="164" t="s">
        <v>304</v>
      </c>
      <c r="T149" s="160">
        <v>465.25</v>
      </c>
      <c r="U149" s="163">
        <f t="shared" si="18"/>
        <v>-3.2137118371718953E-3</v>
      </c>
      <c r="W149" s="164" t="s">
        <v>304</v>
      </c>
      <c r="X149" s="162">
        <v>12338</v>
      </c>
      <c r="Y149" s="163">
        <f t="shared" si="19"/>
        <v>1.7293593251439532E-3</v>
      </c>
      <c r="AA149" s="164" t="s">
        <v>304</v>
      </c>
      <c r="AB149" s="164">
        <v>322.19</v>
      </c>
      <c r="AC149" s="163">
        <f t="shared" si="20"/>
        <v>3.3633334371399037E-3</v>
      </c>
    </row>
    <row r="150" spans="3:29">
      <c r="C150" s="165">
        <v>44750</v>
      </c>
      <c r="D150" s="164">
        <v>415.3</v>
      </c>
      <c r="E150" s="163">
        <f t="shared" si="14"/>
        <v>-9.7758702908916639E-3</v>
      </c>
      <c r="G150" s="161">
        <v>44780</v>
      </c>
      <c r="H150" s="162">
        <v>17698.150000000001</v>
      </c>
      <c r="I150" s="163">
        <f t="shared" si="15"/>
        <v>1.7281218565885936E-2</v>
      </c>
      <c r="K150" s="165">
        <v>44750</v>
      </c>
      <c r="L150" s="164">
        <v>440.05</v>
      </c>
      <c r="M150" s="163">
        <f t="shared" si="16"/>
        <v>-6.098249576510395E-3</v>
      </c>
      <c r="O150" s="165">
        <v>44750</v>
      </c>
      <c r="P150" s="160">
        <v>70.19</v>
      </c>
      <c r="Q150" s="163">
        <f t="shared" si="17"/>
        <v>4.0931336200504154E-2</v>
      </c>
      <c r="S150" s="165">
        <v>44750</v>
      </c>
      <c r="T150" s="160">
        <v>466.75</v>
      </c>
      <c r="U150" s="163">
        <f t="shared" si="18"/>
        <v>-5.3533407685288359E-2</v>
      </c>
      <c r="W150" s="165">
        <v>44750</v>
      </c>
      <c r="X150" s="162">
        <v>12316.7</v>
      </c>
      <c r="Y150" s="163">
        <f t="shared" si="19"/>
        <v>7.4591576329967157E-2</v>
      </c>
      <c r="AA150" s="165">
        <v>44750</v>
      </c>
      <c r="AB150" s="164">
        <v>321.11</v>
      </c>
      <c r="AC150" s="163">
        <f t="shared" si="20"/>
        <v>7.7516947024856009E-3</v>
      </c>
    </row>
    <row r="151" spans="3:29">
      <c r="C151" s="164" t="s">
        <v>305</v>
      </c>
      <c r="D151" s="164">
        <v>419.4</v>
      </c>
      <c r="E151" s="163">
        <f t="shared" si="14"/>
        <v>8.5367319947096121E-3</v>
      </c>
      <c r="G151" s="161">
        <v>44773</v>
      </c>
      <c r="H151" s="162">
        <v>17397.5</v>
      </c>
      <c r="I151" s="163">
        <f t="shared" si="15"/>
        <v>1.3943729692713402E-2</v>
      </c>
      <c r="K151" s="164" t="s">
        <v>305</v>
      </c>
      <c r="L151" s="164">
        <v>442.75</v>
      </c>
      <c r="M151" s="163">
        <f t="shared" si="16"/>
        <v>-7.7319587628865705E-3</v>
      </c>
      <c r="O151" s="164" t="s">
        <v>305</v>
      </c>
      <c r="P151" s="160">
        <v>67.430000000000007</v>
      </c>
      <c r="Q151" s="163">
        <f t="shared" si="17"/>
        <v>7.0827378116563589E-2</v>
      </c>
      <c r="S151" s="164" t="s">
        <v>305</v>
      </c>
      <c r="T151" s="160">
        <v>493.15</v>
      </c>
      <c r="U151" s="163">
        <f t="shared" si="18"/>
        <v>0.11939620928384964</v>
      </c>
      <c r="W151" s="164" t="s">
        <v>305</v>
      </c>
      <c r="X151" s="162">
        <v>11461.75</v>
      </c>
      <c r="Y151" s="163">
        <f t="shared" si="19"/>
        <v>-2.4714521536393197E-2</v>
      </c>
      <c r="AA151" s="164" t="s">
        <v>305</v>
      </c>
      <c r="AB151" s="164">
        <v>318.64</v>
      </c>
      <c r="AC151" s="163">
        <f t="shared" si="20"/>
        <v>-1.5266703751776967E-2</v>
      </c>
    </row>
    <row r="152" spans="3:29">
      <c r="C152" s="164" t="s">
        <v>306</v>
      </c>
      <c r="D152" s="164">
        <v>415.85</v>
      </c>
      <c r="E152" s="163">
        <f t="shared" si="14"/>
        <v>-0.15262353540499229</v>
      </c>
      <c r="G152" s="161">
        <v>44766</v>
      </c>
      <c r="H152" s="162">
        <v>17158.25</v>
      </c>
      <c r="I152" s="163">
        <f t="shared" si="15"/>
        <v>2.6244882457257868E-2</v>
      </c>
      <c r="K152" s="164" t="s">
        <v>306</v>
      </c>
      <c r="L152" s="164">
        <v>446.2</v>
      </c>
      <c r="M152" s="163">
        <f t="shared" si="16"/>
        <v>8.5512711348984194E-2</v>
      </c>
      <c r="O152" s="164" t="s">
        <v>306</v>
      </c>
      <c r="P152" s="160">
        <v>62.97</v>
      </c>
      <c r="Q152" s="163">
        <f t="shared" si="17"/>
        <v>1.4826752618855688E-2</v>
      </c>
      <c r="S152" s="164" t="s">
        <v>306</v>
      </c>
      <c r="T152" s="160">
        <v>440.55</v>
      </c>
      <c r="U152" s="163">
        <f t="shared" si="18"/>
        <v>-2.6838966202783254E-2</v>
      </c>
      <c r="W152" s="164" t="s">
        <v>306</v>
      </c>
      <c r="X152" s="162">
        <v>11752.2</v>
      </c>
      <c r="Y152" s="163">
        <f t="shared" si="19"/>
        <v>-2.9349455505035982E-2</v>
      </c>
      <c r="AA152" s="164" t="s">
        <v>306</v>
      </c>
      <c r="AB152" s="164">
        <v>323.58</v>
      </c>
      <c r="AC152" s="163">
        <f t="shared" si="20"/>
        <v>-1.4016698153452412E-2</v>
      </c>
    </row>
    <row r="153" spans="3:29">
      <c r="C153" s="164" t="s">
        <v>307</v>
      </c>
      <c r="D153" s="164">
        <v>490.75</v>
      </c>
      <c r="E153" s="163">
        <f t="shared" si="14"/>
        <v>0.19700961022488905</v>
      </c>
      <c r="G153" s="161">
        <v>44759</v>
      </c>
      <c r="H153" s="162">
        <v>16719.45</v>
      </c>
      <c r="I153" s="163">
        <f t="shared" si="15"/>
        <v>4.1762206215886222E-2</v>
      </c>
      <c r="K153" s="164" t="s">
        <v>307</v>
      </c>
      <c r="L153" s="164">
        <v>411.05</v>
      </c>
      <c r="M153" s="163">
        <f t="shared" si="16"/>
        <v>-1.9424547772247669E-3</v>
      </c>
      <c r="O153" s="164" t="s">
        <v>307</v>
      </c>
      <c r="P153" s="160">
        <v>62.05</v>
      </c>
      <c r="Q153" s="163">
        <f t="shared" si="17"/>
        <v>3.1587697423108851E-2</v>
      </c>
      <c r="S153" s="164" t="s">
        <v>307</v>
      </c>
      <c r="T153" s="160">
        <v>452.7</v>
      </c>
      <c r="U153" s="163">
        <f t="shared" si="18"/>
        <v>3.1021493463327943E-3</v>
      </c>
      <c r="W153" s="164" t="s">
        <v>307</v>
      </c>
      <c r="X153" s="162">
        <v>12107.55</v>
      </c>
      <c r="Y153" s="163">
        <f t="shared" si="19"/>
        <v>5.0309691522953504E-2</v>
      </c>
      <c r="AA153" s="164" t="s">
        <v>307</v>
      </c>
      <c r="AB153" s="164">
        <v>328.18</v>
      </c>
      <c r="AC153" s="163">
        <f t="shared" si="20"/>
        <v>1.6729661069459167E-2</v>
      </c>
    </row>
    <row r="154" spans="3:29">
      <c r="C154" s="165">
        <v>44841</v>
      </c>
      <c r="D154" s="164">
        <v>409.98</v>
      </c>
      <c r="E154" s="163">
        <f t="shared" si="14"/>
        <v>2.9531414795841426E-2</v>
      </c>
      <c r="G154" s="161">
        <v>44752</v>
      </c>
      <c r="H154" s="162">
        <v>16049.2</v>
      </c>
      <c r="I154" s="163">
        <f t="shared" si="15"/>
        <v>-1.0566810105668067E-2</v>
      </c>
      <c r="K154" s="165">
        <v>44841</v>
      </c>
      <c r="L154" s="164">
        <v>411.85</v>
      </c>
      <c r="M154" s="163">
        <f t="shared" si="16"/>
        <v>2.0946950917203777E-2</v>
      </c>
      <c r="O154" s="165">
        <v>44841</v>
      </c>
      <c r="P154" s="160">
        <v>60.15</v>
      </c>
      <c r="Q154" s="163">
        <f t="shared" si="17"/>
        <v>-2.3538961038961137E-2</v>
      </c>
      <c r="S154" s="165">
        <v>44841</v>
      </c>
      <c r="T154" s="160">
        <v>451.3</v>
      </c>
      <c r="U154" s="163">
        <f t="shared" si="18"/>
        <v>4.2022627568690796E-2</v>
      </c>
      <c r="W154" s="165">
        <v>44841</v>
      </c>
      <c r="X154" s="162">
        <v>11527.6</v>
      </c>
      <c r="Y154" s="163">
        <f t="shared" si="19"/>
        <v>0.15936256983521169</v>
      </c>
      <c r="AA154" s="165">
        <v>44841</v>
      </c>
      <c r="AB154" s="164">
        <v>322.77999999999997</v>
      </c>
      <c r="AC154" s="163">
        <f t="shared" si="20"/>
        <v>4.9816302384955158E-3</v>
      </c>
    </row>
    <row r="155" spans="3:29">
      <c r="C155" s="165">
        <v>44627</v>
      </c>
      <c r="D155" s="164">
        <v>398.22</v>
      </c>
      <c r="E155" s="163">
        <f t="shared" si="14"/>
        <v>0.15299090856447983</v>
      </c>
      <c r="G155" s="161">
        <v>44745</v>
      </c>
      <c r="H155" s="162">
        <v>16220.6</v>
      </c>
      <c r="I155" s="163">
        <f t="shared" si="15"/>
        <v>2.9745334734209372E-2</v>
      </c>
      <c r="K155" s="165">
        <v>44627</v>
      </c>
      <c r="L155" s="164">
        <v>403.4</v>
      </c>
      <c r="M155" s="163">
        <f t="shared" si="16"/>
        <v>5.2576647097194895E-2</v>
      </c>
      <c r="O155" s="165">
        <v>44627</v>
      </c>
      <c r="P155" s="160">
        <v>61.6</v>
      </c>
      <c r="Q155" s="163">
        <f t="shared" si="17"/>
        <v>0.10255951315553968</v>
      </c>
      <c r="S155" s="165">
        <v>44627</v>
      </c>
      <c r="T155" s="160">
        <v>433.1</v>
      </c>
      <c r="U155" s="163">
        <f t="shared" si="18"/>
        <v>-4.8253676470587648E-3</v>
      </c>
      <c r="W155" s="165">
        <v>44627</v>
      </c>
      <c r="X155" s="162">
        <v>9943.0499999999993</v>
      </c>
      <c r="Y155" s="163">
        <f t="shared" si="19"/>
        <v>1.290703774824653E-2</v>
      </c>
      <c r="AA155" s="165">
        <v>44627</v>
      </c>
      <c r="AB155" s="164">
        <v>321.18</v>
      </c>
      <c r="AC155" s="163">
        <f t="shared" si="20"/>
        <v>-1.1175764292971291E-2</v>
      </c>
    </row>
    <row r="156" spans="3:29">
      <c r="C156" s="164" t="s">
        <v>308</v>
      </c>
      <c r="D156" s="164">
        <v>345.38</v>
      </c>
      <c r="E156" s="163">
        <f t="shared" si="14"/>
        <v>-1.7630567357438398E-3</v>
      </c>
      <c r="G156" s="161">
        <v>44738</v>
      </c>
      <c r="H156" s="162">
        <v>15752.05</v>
      </c>
      <c r="I156" s="163">
        <f t="shared" si="15"/>
        <v>3.3632179881204483E-3</v>
      </c>
      <c r="K156" s="164" t="s">
        <v>308</v>
      </c>
      <c r="L156" s="164">
        <v>383.25</v>
      </c>
      <c r="M156" s="163">
        <f t="shared" si="16"/>
        <v>6.9634384593915577E-2</v>
      </c>
      <c r="O156" s="164" t="s">
        <v>308</v>
      </c>
      <c r="P156" s="160">
        <v>55.87</v>
      </c>
      <c r="Q156" s="163">
        <f t="shared" si="17"/>
        <v>5.3157398680490076E-2</v>
      </c>
      <c r="S156" s="164" t="s">
        <v>308</v>
      </c>
      <c r="T156" s="160">
        <v>435.2</v>
      </c>
      <c r="U156" s="163">
        <f t="shared" si="18"/>
        <v>4.4020630922394055E-2</v>
      </c>
      <c r="W156" s="164" t="s">
        <v>308</v>
      </c>
      <c r="X156" s="162">
        <v>9816.35</v>
      </c>
      <c r="Y156" s="163">
        <f t="shared" si="19"/>
        <v>0.14016992758041957</v>
      </c>
      <c r="AA156" s="164" t="s">
        <v>308</v>
      </c>
      <c r="AB156" s="164">
        <v>324.81</v>
      </c>
      <c r="AC156" s="163">
        <f t="shared" si="20"/>
        <v>4.7402534584502165E-2</v>
      </c>
    </row>
    <row r="157" spans="3:29">
      <c r="C157" s="164" t="s">
        <v>309</v>
      </c>
      <c r="D157" s="164">
        <v>345.99</v>
      </c>
      <c r="E157" s="163">
        <f t="shared" si="14"/>
        <v>1.1932964815302149E-2</v>
      </c>
      <c r="G157" s="161">
        <v>44731</v>
      </c>
      <c r="H157" s="162">
        <v>15699.25</v>
      </c>
      <c r="I157" s="163">
        <f t="shared" si="15"/>
        <v>2.6530879131657192E-2</v>
      </c>
      <c r="K157" s="164" t="s">
        <v>309</v>
      </c>
      <c r="L157" s="164">
        <v>358.3</v>
      </c>
      <c r="M157" s="163">
        <f t="shared" si="16"/>
        <v>1.7897727272727204E-2</v>
      </c>
      <c r="O157" s="164" t="s">
        <v>309</v>
      </c>
      <c r="P157" s="160">
        <v>53.05</v>
      </c>
      <c r="Q157" s="163">
        <f t="shared" si="17"/>
        <v>3.049728049728051E-2</v>
      </c>
      <c r="S157" s="164" t="s">
        <v>309</v>
      </c>
      <c r="T157" s="160">
        <v>416.85</v>
      </c>
      <c r="U157" s="163">
        <f t="shared" si="18"/>
        <v>1.77001953125E-2</v>
      </c>
      <c r="W157" s="164" t="s">
        <v>309</v>
      </c>
      <c r="X157" s="162">
        <v>8609.5499999999993</v>
      </c>
      <c r="Y157" s="163">
        <f t="shared" si="19"/>
        <v>-2.073511263272243E-2</v>
      </c>
      <c r="AA157" s="164" t="s">
        <v>309</v>
      </c>
      <c r="AB157" s="164">
        <v>310.11</v>
      </c>
      <c r="AC157" s="163">
        <f t="shared" si="20"/>
        <v>1.5355903346211841E-2</v>
      </c>
    </row>
    <row r="158" spans="3:29">
      <c r="C158" s="165">
        <v>44901</v>
      </c>
      <c r="D158" s="164">
        <v>341.91</v>
      </c>
      <c r="E158" s="163">
        <f t="shared" si="14"/>
        <v>-5.6070896140467119E-2</v>
      </c>
      <c r="G158" s="161">
        <v>44724</v>
      </c>
      <c r="H158" s="162">
        <v>15293.5</v>
      </c>
      <c r="I158" s="163">
        <f t="shared" si="15"/>
        <v>-5.6061672159883447E-2</v>
      </c>
      <c r="K158" s="165">
        <v>44901</v>
      </c>
      <c r="L158" s="164">
        <v>352</v>
      </c>
      <c r="M158" s="163">
        <f t="shared" si="16"/>
        <v>-2.2358005832523342E-2</v>
      </c>
      <c r="O158" s="165">
        <v>44901</v>
      </c>
      <c r="P158" s="160">
        <v>51.48</v>
      </c>
      <c r="Q158" s="163">
        <f t="shared" si="17"/>
        <v>-3.7936834236591332E-2</v>
      </c>
      <c r="S158" s="165">
        <v>44901</v>
      </c>
      <c r="T158" s="160">
        <v>409.6</v>
      </c>
      <c r="U158" s="163">
        <f t="shared" si="18"/>
        <v>-3.2021741699160944E-2</v>
      </c>
      <c r="W158" s="165">
        <v>44901</v>
      </c>
      <c r="X158" s="162">
        <v>8791.85</v>
      </c>
      <c r="Y158" s="163">
        <f t="shared" si="19"/>
        <v>-6.0995733182383827E-2</v>
      </c>
      <c r="AA158" s="165">
        <v>44901</v>
      </c>
      <c r="AB158" s="164">
        <v>305.42</v>
      </c>
      <c r="AC158" s="163">
        <f t="shared" si="20"/>
        <v>-4.4995466057971889E-2</v>
      </c>
    </row>
    <row r="159" spans="3:29">
      <c r="C159" s="165">
        <v>44687</v>
      </c>
      <c r="D159" s="164">
        <v>362.22</v>
      </c>
      <c r="E159" s="163">
        <f t="shared" si="14"/>
        <v>-5.5488917861799103E-2</v>
      </c>
      <c r="G159" s="161">
        <v>44717</v>
      </c>
      <c r="H159" s="162">
        <v>16201.8</v>
      </c>
      <c r="I159" s="163">
        <f t="shared" si="15"/>
        <v>-2.3063982200032584E-2</v>
      </c>
      <c r="K159" s="165">
        <v>44687</v>
      </c>
      <c r="L159" s="164">
        <v>360.05</v>
      </c>
      <c r="M159" s="163">
        <f t="shared" si="16"/>
        <v>-1.6636628309995016E-3</v>
      </c>
      <c r="O159" s="165">
        <v>44687</v>
      </c>
      <c r="P159" s="160">
        <v>53.51</v>
      </c>
      <c r="Q159" s="163">
        <f t="shared" si="17"/>
        <v>-6.6957279860505703E-2</v>
      </c>
      <c r="S159" s="165">
        <v>44687</v>
      </c>
      <c r="T159" s="160">
        <v>423.15</v>
      </c>
      <c r="U159" s="163">
        <f t="shared" si="18"/>
        <v>-2.4752475247524774E-3</v>
      </c>
      <c r="W159" s="165">
        <v>44687</v>
      </c>
      <c r="X159" s="162">
        <v>9362.9500000000007</v>
      </c>
      <c r="Y159" s="163">
        <f t="shared" si="19"/>
        <v>-1.4031928560898077E-2</v>
      </c>
      <c r="AA159" s="165">
        <v>44687</v>
      </c>
      <c r="AB159" s="164">
        <v>319.81</v>
      </c>
      <c r="AC159" s="163">
        <f t="shared" si="20"/>
        <v>2.3817908249831987E-2</v>
      </c>
    </row>
    <row r="160" spans="3:29">
      <c r="C160" s="164" t="s">
        <v>310</v>
      </c>
      <c r="D160" s="164">
        <v>383.5</v>
      </c>
      <c r="E160" s="163">
        <f t="shared" si="14"/>
        <v>3.2468231746715537E-2</v>
      </c>
      <c r="G160" s="161">
        <v>44710</v>
      </c>
      <c r="H160" s="162">
        <v>16584.3</v>
      </c>
      <c r="I160" s="163">
        <f t="shared" si="15"/>
        <v>1.4178303556959371E-2</v>
      </c>
      <c r="K160" s="164" t="s">
        <v>310</v>
      </c>
      <c r="L160" s="164">
        <v>360.65</v>
      </c>
      <c r="M160" s="163">
        <f t="shared" si="16"/>
        <v>3.0870373017007235E-2</v>
      </c>
      <c r="O160" s="164" t="s">
        <v>310</v>
      </c>
      <c r="P160" s="160">
        <v>57.35</v>
      </c>
      <c r="Q160" s="163">
        <f t="shared" si="17"/>
        <v>1.8831053473085779E-2</v>
      </c>
      <c r="S160" s="164" t="s">
        <v>310</v>
      </c>
      <c r="T160" s="160">
        <v>424.2</v>
      </c>
      <c r="U160" s="163">
        <f t="shared" si="18"/>
        <v>1.7022296811316062E-2</v>
      </c>
      <c r="W160" s="164" t="s">
        <v>310</v>
      </c>
      <c r="X160" s="162">
        <v>9496.2000000000007</v>
      </c>
      <c r="Y160" s="163">
        <f t="shared" si="19"/>
        <v>-3.3303302844752469E-2</v>
      </c>
      <c r="AA160" s="164" t="s">
        <v>310</v>
      </c>
      <c r="AB160" s="164">
        <v>312.37</v>
      </c>
      <c r="AC160" s="163">
        <f t="shared" si="20"/>
        <v>2.315754995086805E-2</v>
      </c>
    </row>
    <row r="161" spans="3:29">
      <c r="C161" s="164" t="s">
        <v>311</v>
      </c>
      <c r="D161" s="164">
        <v>371.44</v>
      </c>
      <c r="E161" s="163">
        <f t="shared" si="14"/>
        <v>-2.7465765978058831E-2</v>
      </c>
      <c r="G161" s="161">
        <v>44703</v>
      </c>
      <c r="H161" s="162">
        <v>16352.45</v>
      </c>
      <c r="I161" s="163">
        <f t="shared" si="15"/>
        <v>5.3054963835941216E-3</v>
      </c>
      <c r="K161" s="164" t="s">
        <v>311</v>
      </c>
      <c r="L161" s="164">
        <v>349.85</v>
      </c>
      <c r="M161" s="163">
        <f t="shared" si="16"/>
        <v>-3.8741585382607413E-2</v>
      </c>
      <c r="O161" s="164" t="s">
        <v>311</v>
      </c>
      <c r="P161" s="160">
        <v>56.29</v>
      </c>
      <c r="Q161" s="163">
        <f t="shared" si="17"/>
        <v>-3.3648068669527964E-2</v>
      </c>
      <c r="S161" s="164" t="s">
        <v>311</v>
      </c>
      <c r="T161" s="160">
        <v>417.1</v>
      </c>
      <c r="U161" s="163">
        <f t="shared" si="18"/>
        <v>-7.3419971120737393E-2</v>
      </c>
      <c r="W161" s="164" t="s">
        <v>311</v>
      </c>
      <c r="X161" s="162">
        <v>9823.35</v>
      </c>
      <c r="Y161" s="163">
        <f t="shared" si="19"/>
        <v>-1.4817823509943762E-2</v>
      </c>
      <c r="AA161" s="164" t="s">
        <v>311</v>
      </c>
      <c r="AB161" s="164">
        <v>305.3</v>
      </c>
      <c r="AC161" s="163">
        <f t="shared" si="20"/>
        <v>-1.4334603215600206E-2</v>
      </c>
    </row>
    <row r="162" spans="3:29">
      <c r="C162" s="164" t="s">
        <v>312</v>
      </c>
      <c r="D162" s="164">
        <v>381.93</v>
      </c>
      <c r="E162" s="163">
        <f t="shared" si="14"/>
        <v>6.1624416277518357E-2</v>
      </c>
      <c r="G162" s="161">
        <v>44696</v>
      </c>
      <c r="H162" s="162">
        <v>16266.15</v>
      </c>
      <c r="I162" s="163">
        <f t="shared" si="15"/>
        <v>3.0667557968971249E-2</v>
      </c>
      <c r="K162" s="164" t="s">
        <v>312</v>
      </c>
      <c r="L162" s="164">
        <v>363.95</v>
      </c>
      <c r="M162" s="163">
        <f t="shared" si="16"/>
        <v>0.10204390613171843</v>
      </c>
      <c r="O162" s="164" t="s">
        <v>312</v>
      </c>
      <c r="P162" s="160">
        <v>58.25</v>
      </c>
      <c r="Q162" s="163">
        <f t="shared" si="17"/>
        <v>1.2163336229365829E-2</v>
      </c>
      <c r="S162" s="164" t="s">
        <v>312</v>
      </c>
      <c r="T162" s="160">
        <v>450.15</v>
      </c>
      <c r="U162" s="163">
        <f t="shared" si="18"/>
        <v>-1.799738219895286E-2</v>
      </c>
      <c r="W162" s="164" t="s">
        <v>312</v>
      </c>
      <c r="X162" s="162">
        <v>9971.1</v>
      </c>
      <c r="Y162" s="163">
        <f t="shared" si="19"/>
        <v>-8.3671945848717844E-4</v>
      </c>
      <c r="AA162" s="164" t="s">
        <v>312</v>
      </c>
      <c r="AB162" s="164">
        <v>309.74</v>
      </c>
      <c r="AC162" s="163">
        <f t="shared" si="20"/>
        <v>-2.1883980168629802E-2</v>
      </c>
    </row>
    <row r="163" spans="3:29">
      <c r="C163" s="165">
        <v>44778</v>
      </c>
      <c r="D163" s="164">
        <v>359.76</v>
      </c>
      <c r="E163" s="163">
        <f t="shared" si="14"/>
        <v>-4.53496085975853E-2</v>
      </c>
      <c r="G163" s="161">
        <v>44689</v>
      </c>
      <c r="H163" s="162">
        <v>15782.15</v>
      </c>
      <c r="I163" s="163">
        <f t="shared" si="15"/>
        <v>-3.8333460278772158E-2</v>
      </c>
      <c r="K163" s="165">
        <v>44778</v>
      </c>
      <c r="L163" s="164">
        <v>330.25</v>
      </c>
      <c r="M163" s="163">
        <f t="shared" si="16"/>
        <v>-8.2128960533629836E-2</v>
      </c>
      <c r="O163" s="165">
        <v>44778</v>
      </c>
      <c r="P163" s="160">
        <v>57.55</v>
      </c>
      <c r="Q163" s="163">
        <f t="shared" si="17"/>
        <v>-5.5938320209973802E-2</v>
      </c>
      <c r="S163" s="165">
        <v>44778</v>
      </c>
      <c r="T163" s="160">
        <v>458.4</v>
      </c>
      <c r="U163" s="163">
        <f t="shared" si="18"/>
        <v>7.4542897327707358E-2</v>
      </c>
      <c r="W163" s="165">
        <v>44778</v>
      </c>
      <c r="X163" s="162">
        <v>9979.4500000000007</v>
      </c>
      <c r="Y163" s="163">
        <f t="shared" si="19"/>
        <v>-9.1567405681202696E-2</v>
      </c>
      <c r="AA163" s="165">
        <v>44778</v>
      </c>
      <c r="AB163" s="164">
        <v>316.67</v>
      </c>
      <c r="AC163" s="163">
        <f t="shared" si="20"/>
        <v>-2.7456159208869457E-2</v>
      </c>
    </row>
    <row r="164" spans="3:29">
      <c r="C164" s="165">
        <v>44566</v>
      </c>
      <c r="D164" s="164">
        <v>376.85</v>
      </c>
      <c r="E164" s="163">
        <f t="shared" si="14"/>
        <v>5.5306636796415676E-2</v>
      </c>
      <c r="G164" s="161">
        <v>44682</v>
      </c>
      <c r="H164" s="162">
        <v>16411.25</v>
      </c>
      <c r="I164" s="163">
        <f t="shared" si="15"/>
        <v>-4.0420872910764682E-2</v>
      </c>
      <c r="K164" s="165">
        <v>44566</v>
      </c>
      <c r="L164" s="164">
        <v>359.8</v>
      </c>
      <c r="M164" s="163">
        <f t="shared" si="16"/>
        <v>-0.1184613499938747</v>
      </c>
      <c r="O164" s="165">
        <v>44566</v>
      </c>
      <c r="P164" s="160">
        <v>60.96</v>
      </c>
      <c r="Q164" s="163">
        <f t="shared" si="17"/>
        <v>2.4666995559941007E-3</v>
      </c>
      <c r="S164" s="165">
        <v>44566</v>
      </c>
      <c r="T164" s="160">
        <v>426.6</v>
      </c>
      <c r="U164" s="163">
        <f t="shared" si="18"/>
        <v>-2.1783994496675119E-2</v>
      </c>
      <c r="W164" s="165">
        <v>44566</v>
      </c>
      <c r="X164" s="162">
        <v>10985.35</v>
      </c>
      <c r="Y164" s="163">
        <f t="shared" si="19"/>
        <v>-6.2787404127528479E-2</v>
      </c>
      <c r="AA164" s="165">
        <v>44566</v>
      </c>
      <c r="AB164" s="164">
        <v>325.61</v>
      </c>
      <c r="AC164" s="163">
        <f t="shared" si="20"/>
        <v>-4.7339009333216331E-2</v>
      </c>
    </row>
    <row r="165" spans="3:29">
      <c r="C165" s="164" t="s">
        <v>313</v>
      </c>
      <c r="D165" s="164">
        <v>357.1</v>
      </c>
      <c r="E165" s="163">
        <f t="shared" si="14"/>
        <v>-3.4577847468166167E-2</v>
      </c>
      <c r="G165" s="161">
        <v>44675</v>
      </c>
      <c r="H165" s="162">
        <v>17102.55</v>
      </c>
      <c r="I165" s="163">
        <f t="shared" si="15"/>
        <v>-4.0414746141237412E-3</v>
      </c>
      <c r="K165" s="164" t="s">
        <v>313</v>
      </c>
      <c r="L165" s="164">
        <v>408.15</v>
      </c>
      <c r="M165" s="163">
        <f t="shared" si="16"/>
        <v>5.1526471724848699E-2</v>
      </c>
      <c r="O165" s="164" t="s">
        <v>313</v>
      </c>
      <c r="P165" s="160">
        <v>60.81</v>
      </c>
      <c r="Q165" s="163">
        <f t="shared" si="17"/>
        <v>-1.3785274083684684E-2</v>
      </c>
      <c r="S165" s="164" t="s">
        <v>313</v>
      </c>
      <c r="T165" s="160">
        <v>436.1</v>
      </c>
      <c r="U165" s="163">
        <f t="shared" si="18"/>
        <v>-5.3191489361702149E-2</v>
      </c>
      <c r="W165" s="164" t="s">
        <v>313</v>
      </c>
      <c r="X165" s="162">
        <v>11721.3</v>
      </c>
      <c r="Y165" s="163">
        <f t="shared" si="19"/>
        <v>2.7377628966732237E-2</v>
      </c>
      <c r="AA165" s="164" t="s">
        <v>313</v>
      </c>
      <c r="AB165" s="164">
        <v>341.79</v>
      </c>
      <c r="AC165" s="163">
        <f t="shared" si="20"/>
        <v>3.9444072744966974E-2</v>
      </c>
    </row>
    <row r="166" spans="3:29">
      <c r="C166" s="164" t="s">
        <v>314</v>
      </c>
      <c r="D166" s="164">
        <v>369.89</v>
      </c>
      <c r="E166" s="163">
        <f t="shared" si="14"/>
        <v>-2.3882408824616119E-2</v>
      </c>
      <c r="G166" s="161">
        <v>44668</v>
      </c>
      <c r="H166" s="162">
        <v>17171.95</v>
      </c>
      <c r="I166" s="163">
        <f t="shared" si="15"/>
        <v>-1.7378466609253462E-2</v>
      </c>
      <c r="K166" s="164" t="s">
        <v>314</v>
      </c>
      <c r="L166" s="164">
        <v>388.15</v>
      </c>
      <c r="M166" s="163">
        <f t="shared" si="16"/>
        <v>-6.6273755111859511E-2</v>
      </c>
      <c r="O166" s="164" t="s">
        <v>314</v>
      </c>
      <c r="P166" s="160">
        <v>61.66</v>
      </c>
      <c r="Q166" s="163">
        <f t="shared" si="17"/>
        <v>5.8727569331158413E-3</v>
      </c>
      <c r="S166" s="164" t="s">
        <v>314</v>
      </c>
      <c r="T166" s="160">
        <v>460.6</v>
      </c>
      <c r="U166" s="163">
        <f t="shared" si="18"/>
        <v>-6.8836551096734921E-2</v>
      </c>
      <c r="W166" s="164" t="s">
        <v>314</v>
      </c>
      <c r="X166" s="162">
        <v>11408.95</v>
      </c>
      <c r="Y166" s="163">
        <f t="shared" si="19"/>
        <v>-4.7857691280544734E-2</v>
      </c>
      <c r="AA166" s="164" t="s">
        <v>314</v>
      </c>
      <c r="AB166" s="164">
        <v>328.82</v>
      </c>
      <c r="AC166" s="163">
        <f t="shared" si="20"/>
        <v>-1.465344161097959E-2</v>
      </c>
    </row>
    <row r="167" spans="3:29">
      <c r="C167" s="165">
        <v>44838</v>
      </c>
      <c r="D167" s="164">
        <v>378.94</v>
      </c>
      <c r="E167" s="163">
        <f t="shared" si="14"/>
        <v>-3.1636512317285037E-2</v>
      </c>
      <c r="G167" s="161">
        <v>44661</v>
      </c>
      <c r="H167" s="162">
        <v>17475.650000000001</v>
      </c>
      <c r="I167" s="163">
        <f t="shared" si="15"/>
        <v>-1.7357957979909133E-2</v>
      </c>
      <c r="K167" s="165">
        <v>44838</v>
      </c>
      <c r="L167" s="164">
        <v>415.7</v>
      </c>
      <c r="M167" s="163">
        <f t="shared" si="16"/>
        <v>1.700305810397551E-2</v>
      </c>
      <c r="O167" s="165">
        <v>44838</v>
      </c>
      <c r="P167" s="160">
        <v>61.3</v>
      </c>
      <c r="Q167" s="163">
        <f t="shared" si="17"/>
        <v>-0.11887307747592346</v>
      </c>
      <c r="S167" s="165">
        <v>44838</v>
      </c>
      <c r="T167" s="160">
        <v>494.65</v>
      </c>
      <c r="U167" s="163">
        <f t="shared" si="18"/>
        <v>6.0911528150134009E-2</v>
      </c>
      <c r="W167" s="165">
        <v>44838</v>
      </c>
      <c r="X167" s="162">
        <v>11982.4</v>
      </c>
      <c r="Y167" s="163">
        <f t="shared" si="19"/>
        <v>2.6162765802567378E-2</v>
      </c>
      <c r="AA167" s="165">
        <v>44838</v>
      </c>
      <c r="AB167" s="164">
        <v>333.71</v>
      </c>
      <c r="AC167" s="163">
        <f t="shared" si="20"/>
        <v>2.6263185410708045E-2</v>
      </c>
    </row>
    <row r="168" spans="3:29">
      <c r="C168" s="165">
        <v>44624</v>
      </c>
      <c r="D168" s="164">
        <v>391.32</v>
      </c>
      <c r="E168" s="163">
        <f t="shared" si="14"/>
        <v>3.4007134363852609E-2</v>
      </c>
      <c r="G168" s="161">
        <v>44654</v>
      </c>
      <c r="H168" s="162">
        <v>17784.349999999999</v>
      </c>
      <c r="I168" s="163">
        <f t="shared" si="15"/>
        <v>6.4457894394311932E-3</v>
      </c>
      <c r="K168" s="165">
        <v>44624</v>
      </c>
      <c r="L168" s="164">
        <v>408.75</v>
      </c>
      <c r="M168" s="163">
        <f t="shared" si="16"/>
        <v>-1.6718787587202244E-2</v>
      </c>
      <c r="O168" s="165">
        <v>44624</v>
      </c>
      <c r="P168" s="160">
        <v>69.569999999999993</v>
      </c>
      <c r="Q168" s="163">
        <f t="shared" si="17"/>
        <v>3.4036860879904651E-2</v>
      </c>
      <c r="S168" s="165">
        <v>44624</v>
      </c>
      <c r="T168" s="160">
        <v>466.25</v>
      </c>
      <c r="U168" s="163">
        <f t="shared" si="18"/>
        <v>0.1159645763523216</v>
      </c>
      <c r="W168" s="165">
        <v>44624</v>
      </c>
      <c r="X168" s="162">
        <v>11676.9</v>
      </c>
      <c r="Y168" s="163">
        <f t="shared" si="19"/>
        <v>6.0297743091025424E-2</v>
      </c>
      <c r="AA168" s="165">
        <v>44624</v>
      </c>
      <c r="AB168" s="164">
        <v>325.17</v>
      </c>
      <c r="AC168" s="163">
        <f t="shared" si="20"/>
        <v>4.2478840728391809E-2</v>
      </c>
    </row>
    <row r="169" spans="3:29">
      <c r="C169" s="164" t="s">
        <v>315</v>
      </c>
      <c r="D169" s="164">
        <v>378.45</v>
      </c>
      <c r="E169" s="163">
        <f t="shared" si="14"/>
        <v>1.1438650880615686E-2</v>
      </c>
      <c r="G169" s="161">
        <v>44647</v>
      </c>
      <c r="H169" s="162">
        <v>17670.45</v>
      </c>
      <c r="I169" s="163">
        <f t="shared" si="15"/>
        <v>3.0166734681979834E-2</v>
      </c>
      <c r="K169" s="164" t="s">
        <v>315</v>
      </c>
      <c r="L169" s="164">
        <v>415.7</v>
      </c>
      <c r="M169" s="163">
        <f t="shared" si="16"/>
        <v>3.1129852412253634E-2</v>
      </c>
      <c r="O169" s="164" t="s">
        <v>315</v>
      </c>
      <c r="P169" s="160">
        <v>67.28</v>
      </c>
      <c r="Q169" s="163">
        <f t="shared" si="17"/>
        <v>0.13361415332771687</v>
      </c>
      <c r="S169" s="164" t="s">
        <v>315</v>
      </c>
      <c r="T169" s="160">
        <v>417.8</v>
      </c>
      <c r="U169" s="163">
        <f t="shared" si="18"/>
        <v>-1.6825508883397955E-2</v>
      </c>
      <c r="W169" s="164" t="s">
        <v>315</v>
      </c>
      <c r="X169" s="162">
        <v>11012.85</v>
      </c>
      <c r="Y169" s="163">
        <f t="shared" si="19"/>
        <v>2.7701567749160105E-2</v>
      </c>
      <c r="AA169" s="164" t="s">
        <v>315</v>
      </c>
      <c r="AB169" s="164">
        <v>311.92</v>
      </c>
      <c r="AC169" s="163">
        <f t="shared" si="20"/>
        <v>5.7248415415381615E-2</v>
      </c>
    </row>
    <row r="170" spans="3:29">
      <c r="C170" s="164" t="s">
        <v>316</v>
      </c>
      <c r="D170" s="164">
        <v>374.17</v>
      </c>
      <c r="E170" s="163">
        <f t="shared" si="14"/>
        <v>-5.4959209961356836E-2</v>
      </c>
      <c r="G170" s="161">
        <v>44640</v>
      </c>
      <c r="H170" s="162">
        <v>17153</v>
      </c>
      <c r="I170" s="163">
        <f t="shared" si="15"/>
        <v>-7.7543594771808388E-3</v>
      </c>
      <c r="K170" s="164" t="s">
        <v>316</v>
      </c>
      <c r="L170" s="164">
        <v>403.15</v>
      </c>
      <c r="M170" s="163">
        <f t="shared" si="16"/>
        <v>5.9887710542732009E-3</v>
      </c>
      <c r="O170" s="164" t="s">
        <v>316</v>
      </c>
      <c r="P170" s="160">
        <v>59.35</v>
      </c>
      <c r="Q170" s="163">
        <f t="shared" si="17"/>
        <v>-2.5131406044678117E-2</v>
      </c>
      <c r="S170" s="164" t="s">
        <v>316</v>
      </c>
      <c r="T170" s="160">
        <v>424.95</v>
      </c>
      <c r="U170" s="163">
        <f t="shared" si="18"/>
        <v>-1.2318419523532853E-2</v>
      </c>
      <c r="W170" s="164" t="s">
        <v>316</v>
      </c>
      <c r="X170" s="162">
        <v>10716</v>
      </c>
      <c r="Y170" s="163">
        <f t="shared" si="19"/>
        <v>-3.572826541768459E-2</v>
      </c>
      <c r="AA170" s="164" t="s">
        <v>316</v>
      </c>
      <c r="AB170" s="164">
        <v>295.02999999999997</v>
      </c>
      <c r="AC170" s="163">
        <f t="shared" si="20"/>
        <v>-1.4990651709401726E-2</v>
      </c>
    </row>
    <row r="171" spans="3:29">
      <c r="C171" s="164" t="s">
        <v>317</v>
      </c>
      <c r="D171" s="164">
        <v>395.93</v>
      </c>
      <c r="E171" s="163">
        <f t="shared" si="14"/>
        <v>2.9673358993030252E-2</v>
      </c>
      <c r="G171" s="161">
        <v>44633</v>
      </c>
      <c r="H171" s="162">
        <v>17287.05</v>
      </c>
      <c r="I171" s="163">
        <f t="shared" si="15"/>
        <v>3.9481793938227705E-2</v>
      </c>
      <c r="K171" s="164" t="s">
        <v>317</v>
      </c>
      <c r="L171" s="164">
        <v>400.75</v>
      </c>
      <c r="M171" s="163">
        <f t="shared" si="16"/>
        <v>6.0185185185185119E-2</v>
      </c>
      <c r="O171" s="164" t="s">
        <v>317</v>
      </c>
      <c r="P171" s="160">
        <v>60.88</v>
      </c>
      <c r="Q171" s="163">
        <f t="shared" si="17"/>
        <v>2.4699489543884567E-3</v>
      </c>
      <c r="S171" s="164" t="s">
        <v>317</v>
      </c>
      <c r="T171" s="160">
        <v>430.25</v>
      </c>
      <c r="U171" s="163">
        <f t="shared" si="18"/>
        <v>1.1757789535567387E-2</v>
      </c>
      <c r="W171" s="164" t="s">
        <v>317</v>
      </c>
      <c r="X171" s="162">
        <v>11113.05</v>
      </c>
      <c r="Y171" s="163">
        <f t="shared" si="19"/>
        <v>-4.0203652443527083E-2</v>
      </c>
      <c r="AA171" s="164" t="s">
        <v>317</v>
      </c>
      <c r="AB171" s="164">
        <v>299.52</v>
      </c>
      <c r="AC171" s="163">
        <f t="shared" si="20"/>
        <v>-1.641928280572702E-2</v>
      </c>
    </row>
    <row r="172" spans="3:29">
      <c r="C172" s="165">
        <v>44715</v>
      </c>
      <c r="D172" s="164">
        <v>384.52</v>
      </c>
      <c r="E172" s="163">
        <f t="shared" si="14"/>
        <v>2.5195296877916107E-2</v>
      </c>
      <c r="G172" s="161">
        <v>44626</v>
      </c>
      <c r="H172" s="162">
        <v>16630.45</v>
      </c>
      <c r="I172" s="163">
        <f t="shared" si="15"/>
        <v>2.3705244885459553E-2</v>
      </c>
      <c r="K172" s="165">
        <v>44715</v>
      </c>
      <c r="L172" s="164">
        <v>378</v>
      </c>
      <c r="M172" s="163">
        <f t="shared" si="16"/>
        <v>-6.9996309509164689E-2</v>
      </c>
      <c r="O172" s="165">
        <v>44715</v>
      </c>
      <c r="P172" s="160">
        <v>60.73</v>
      </c>
      <c r="Q172" s="163">
        <f t="shared" si="17"/>
        <v>-4.8417424005014142E-2</v>
      </c>
      <c r="S172" s="165">
        <v>44715</v>
      </c>
      <c r="T172" s="160">
        <v>425.25</v>
      </c>
      <c r="U172" s="163">
        <f t="shared" si="18"/>
        <v>-3.3193134022962423E-2</v>
      </c>
      <c r="W172" s="165">
        <v>44715</v>
      </c>
      <c r="X172" s="162">
        <v>11578.55</v>
      </c>
      <c r="Y172" s="163">
        <f t="shared" si="19"/>
        <v>-3.7343130885953979E-3</v>
      </c>
      <c r="AA172" s="165">
        <v>44715</v>
      </c>
      <c r="AB172" s="164">
        <v>304.52</v>
      </c>
      <c r="AC172" s="163">
        <f t="shared" si="20"/>
        <v>-2.6843921769142409E-2</v>
      </c>
    </row>
    <row r="173" spans="3:29">
      <c r="C173" s="164" t="s">
        <v>318</v>
      </c>
      <c r="D173" s="164">
        <v>375.07</v>
      </c>
      <c r="E173" s="163">
        <f t="shared" si="14"/>
        <v>-1.1152122330609027E-2</v>
      </c>
      <c r="G173" s="161">
        <v>44619</v>
      </c>
      <c r="H173" s="162">
        <v>16245.35</v>
      </c>
      <c r="I173" s="163">
        <f t="shared" si="15"/>
        <v>-2.4795298468040183E-2</v>
      </c>
      <c r="K173" s="164" t="s">
        <v>318</v>
      </c>
      <c r="L173" s="164">
        <v>406.45</v>
      </c>
      <c r="M173" s="163">
        <f t="shared" si="16"/>
        <v>-7.3090079817559883E-2</v>
      </c>
      <c r="O173" s="164" t="s">
        <v>318</v>
      </c>
      <c r="P173" s="160">
        <v>63.82</v>
      </c>
      <c r="Q173" s="163">
        <f t="shared" si="17"/>
        <v>3.3354922279792865E-2</v>
      </c>
      <c r="S173" s="164" t="s">
        <v>318</v>
      </c>
      <c r="T173" s="160">
        <v>439.85</v>
      </c>
      <c r="U173" s="163">
        <f t="shared" si="18"/>
        <v>-7.5945378151260456E-2</v>
      </c>
      <c r="W173" s="164" t="s">
        <v>318</v>
      </c>
      <c r="X173" s="162">
        <v>11621.95</v>
      </c>
      <c r="Y173" s="163">
        <f t="shared" si="19"/>
        <v>-2.1111635193639122E-2</v>
      </c>
      <c r="AA173" s="164" t="s">
        <v>318</v>
      </c>
      <c r="AB173" s="164">
        <v>312.92</v>
      </c>
      <c r="AC173" s="163">
        <f t="shared" si="20"/>
        <v>-2.3559147502106303E-2</v>
      </c>
    </row>
    <row r="174" spans="3:29">
      <c r="C174" s="164" t="s">
        <v>319</v>
      </c>
      <c r="D174" s="164">
        <v>379.3</v>
      </c>
      <c r="E174" s="163">
        <f t="shared" si="14"/>
        <v>-6.484220907297833E-2</v>
      </c>
      <c r="G174" s="161">
        <v>44612</v>
      </c>
      <c r="H174" s="162">
        <v>16658.400000000001</v>
      </c>
      <c r="I174" s="163">
        <f t="shared" si="15"/>
        <v>-3.5765760029635829E-2</v>
      </c>
      <c r="K174" s="164" t="s">
        <v>319</v>
      </c>
      <c r="L174" s="164">
        <v>438.5</v>
      </c>
      <c r="M174" s="163">
        <f t="shared" si="16"/>
        <v>-4.0271394178157061E-2</v>
      </c>
      <c r="O174" s="164" t="s">
        <v>319</v>
      </c>
      <c r="P174" s="160">
        <v>61.76</v>
      </c>
      <c r="Q174" s="163">
        <f t="shared" si="17"/>
        <v>-8.2317979197622626E-2</v>
      </c>
      <c r="S174" s="164" t="s">
        <v>319</v>
      </c>
      <c r="T174" s="160">
        <v>476</v>
      </c>
      <c r="U174" s="163">
        <f t="shared" si="18"/>
        <v>-0.12371134020618568</v>
      </c>
      <c r="W174" s="164" t="s">
        <v>319</v>
      </c>
      <c r="X174" s="162">
        <v>11872.6</v>
      </c>
      <c r="Y174" s="163">
        <f t="shared" si="19"/>
        <v>-4.2439590928154303E-2</v>
      </c>
      <c r="AA174" s="164" t="s">
        <v>319</v>
      </c>
      <c r="AB174" s="164">
        <v>320.47000000000003</v>
      </c>
      <c r="AC174" s="163">
        <f t="shared" si="20"/>
        <v>3.4842417979850326E-2</v>
      </c>
    </row>
    <row r="175" spans="3:29">
      <c r="C175" s="164" t="s">
        <v>320</v>
      </c>
      <c r="D175" s="164">
        <v>405.6</v>
      </c>
      <c r="E175" s="163">
        <f t="shared" si="14"/>
        <v>1.5345332565649406E-2</v>
      </c>
      <c r="G175" s="161">
        <v>44605</v>
      </c>
      <c r="H175" s="162">
        <v>17276.3</v>
      </c>
      <c r="I175" s="163">
        <f t="shared" si="15"/>
        <v>-5.6662685794041101E-3</v>
      </c>
      <c r="K175" s="164" t="s">
        <v>320</v>
      </c>
      <c r="L175" s="164">
        <v>456.9</v>
      </c>
      <c r="M175" s="163">
        <f t="shared" si="16"/>
        <v>-3.9015669365863981E-2</v>
      </c>
      <c r="O175" s="164" t="s">
        <v>320</v>
      </c>
      <c r="P175" s="160">
        <v>67.3</v>
      </c>
      <c r="Q175" s="163">
        <f t="shared" si="17"/>
        <v>-6.3326374391092566E-2</v>
      </c>
      <c r="S175" s="164" t="s">
        <v>320</v>
      </c>
      <c r="T175" s="160">
        <v>543.20000000000005</v>
      </c>
      <c r="U175" s="163">
        <f t="shared" si="18"/>
        <v>-6.6907154513441425E-2</v>
      </c>
      <c r="W175" s="164" t="s">
        <v>320</v>
      </c>
      <c r="X175" s="162">
        <v>12398.8</v>
      </c>
      <c r="Y175" s="163">
        <f t="shared" si="19"/>
        <v>-3.7203270719604942E-2</v>
      </c>
      <c r="AA175" s="164" t="s">
        <v>320</v>
      </c>
      <c r="AB175" s="164">
        <v>309.68</v>
      </c>
      <c r="AC175" s="163">
        <f t="shared" si="20"/>
        <v>3.4888383905894882E-2</v>
      </c>
    </row>
    <row r="176" spans="3:29">
      <c r="C176" s="165">
        <v>44714</v>
      </c>
      <c r="D176" s="164">
        <v>399.47</v>
      </c>
      <c r="E176" s="163">
        <f t="shared" si="14"/>
        <v>-2.6205450733752578E-2</v>
      </c>
      <c r="G176" s="161">
        <v>44598</v>
      </c>
      <c r="H176" s="162">
        <v>17374.75</v>
      </c>
      <c r="I176" s="163">
        <f t="shared" si="15"/>
        <v>-8.0810445128252084E-3</v>
      </c>
      <c r="K176" s="165">
        <v>44714</v>
      </c>
      <c r="L176" s="164">
        <v>475.45</v>
      </c>
      <c r="M176" s="163">
        <f t="shared" si="16"/>
        <v>-5.0619009584664587E-2</v>
      </c>
      <c r="O176" s="165">
        <v>44714</v>
      </c>
      <c r="P176" s="160">
        <v>71.849999999999994</v>
      </c>
      <c r="Q176" s="163">
        <f t="shared" si="17"/>
        <v>-1.0466877840517919E-2</v>
      </c>
      <c r="S176" s="165">
        <v>44714</v>
      </c>
      <c r="T176" s="160">
        <v>582.15</v>
      </c>
      <c r="U176" s="163">
        <f t="shared" si="18"/>
        <v>-8.7689426187638198E-3</v>
      </c>
      <c r="W176" s="165">
        <v>44714</v>
      </c>
      <c r="X176" s="162">
        <v>12877.9</v>
      </c>
      <c r="Y176" s="163">
        <f t="shared" si="19"/>
        <v>-4.3951371305978038E-3</v>
      </c>
      <c r="AA176" s="165">
        <v>44714</v>
      </c>
      <c r="AB176" s="164">
        <v>299.24</v>
      </c>
      <c r="AC176" s="163">
        <f t="shared" si="20"/>
        <v>-0.10543780454993867</v>
      </c>
    </row>
    <row r="177" spans="3:29">
      <c r="C177" s="164" t="s">
        <v>321</v>
      </c>
      <c r="D177" s="164">
        <v>410.22</v>
      </c>
      <c r="E177" s="163">
        <f t="shared" si="14"/>
        <v>3.6249273751484123E-2</v>
      </c>
      <c r="G177" s="161">
        <v>44591</v>
      </c>
      <c r="H177" s="162">
        <v>17516.3</v>
      </c>
      <c r="I177" s="163">
        <f t="shared" si="15"/>
        <v>2.4228231283567103E-2</v>
      </c>
      <c r="K177" s="164" t="s">
        <v>321</v>
      </c>
      <c r="L177" s="164">
        <v>500.8</v>
      </c>
      <c r="M177" s="163">
        <f t="shared" si="16"/>
        <v>0.12148695554809086</v>
      </c>
      <c r="O177" s="164" t="s">
        <v>321</v>
      </c>
      <c r="P177" s="160">
        <v>72.61</v>
      </c>
      <c r="Q177" s="163">
        <f t="shared" si="17"/>
        <v>-9.0077794458850446E-3</v>
      </c>
      <c r="S177" s="164" t="s">
        <v>321</v>
      </c>
      <c r="T177" s="160">
        <v>587.29999999999995</v>
      </c>
      <c r="U177" s="163">
        <f t="shared" si="18"/>
        <v>-3.6818368183681893E-2</v>
      </c>
      <c r="W177" s="164" t="s">
        <v>321</v>
      </c>
      <c r="X177" s="162">
        <v>12934.75</v>
      </c>
      <c r="Y177" s="163">
        <f t="shared" si="19"/>
        <v>4.601763038328599E-3</v>
      </c>
      <c r="AA177" s="164" t="s">
        <v>321</v>
      </c>
      <c r="AB177" s="164">
        <v>334.51</v>
      </c>
      <c r="AC177" s="163">
        <f t="shared" si="20"/>
        <v>-2.916763408404921E-2</v>
      </c>
    </row>
    <row r="178" spans="3:29">
      <c r="C178" s="164" t="s">
        <v>322</v>
      </c>
      <c r="D178" s="164">
        <v>395.87</v>
      </c>
      <c r="E178" s="163">
        <f t="shared" si="14"/>
        <v>-4.8252151752656625E-2</v>
      </c>
      <c r="G178" s="161">
        <v>44584</v>
      </c>
      <c r="H178" s="162">
        <v>17101.95</v>
      </c>
      <c r="I178" s="163">
        <f t="shared" si="15"/>
        <v>-2.9244230763772805E-2</v>
      </c>
      <c r="K178" s="164" t="s">
        <v>322</v>
      </c>
      <c r="L178" s="164">
        <v>446.55</v>
      </c>
      <c r="M178" s="163">
        <f t="shared" si="16"/>
        <v>-3.1134736385332928E-2</v>
      </c>
      <c r="O178" s="164" t="s">
        <v>322</v>
      </c>
      <c r="P178" s="160">
        <v>73.27</v>
      </c>
      <c r="Q178" s="163">
        <f t="shared" si="17"/>
        <v>-1.6245972073039794E-2</v>
      </c>
      <c r="S178" s="164" t="s">
        <v>322</v>
      </c>
      <c r="T178" s="160">
        <v>609.75</v>
      </c>
      <c r="U178" s="163">
        <f t="shared" si="18"/>
        <v>-1.5555919436712751E-3</v>
      </c>
      <c r="W178" s="164" t="s">
        <v>322</v>
      </c>
      <c r="X178" s="162">
        <v>12875.5</v>
      </c>
      <c r="Y178" s="163">
        <f t="shared" si="19"/>
        <v>-2.0274768965031886E-2</v>
      </c>
      <c r="AA178" s="164" t="s">
        <v>322</v>
      </c>
      <c r="AB178" s="164">
        <v>344.56</v>
      </c>
      <c r="AC178" s="163">
        <f t="shared" si="20"/>
        <v>1.1032863849765207E-2</v>
      </c>
    </row>
    <row r="179" spans="3:29">
      <c r="C179" s="164" t="s">
        <v>323</v>
      </c>
      <c r="D179" s="164">
        <v>415.94</v>
      </c>
      <c r="E179" s="163">
        <f t="shared" si="14"/>
        <v>-0.10070915852287465</v>
      </c>
      <c r="G179" s="161">
        <v>44577</v>
      </c>
      <c r="H179" s="162">
        <v>17617.150000000001</v>
      </c>
      <c r="I179" s="163">
        <f t="shared" si="15"/>
        <v>-3.4980759486736956E-2</v>
      </c>
      <c r="K179" s="164" t="s">
        <v>323</v>
      </c>
      <c r="L179" s="164">
        <v>460.9</v>
      </c>
      <c r="M179" s="163">
        <f t="shared" si="16"/>
        <v>9.6206445475086166E-2</v>
      </c>
      <c r="O179" s="164" t="s">
        <v>323</v>
      </c>
      <c r="P179" s="160">
        <v>74.48</v>
      </c>
      <c r="Q179" s="163">
        <f t="shared" si="17"/>
        <v>-1.9096536283419008E-2</v>
      </c>
      <c r="S179" s="164" t="s">
        <v>323</v>
      </c>
      <c r="T179" s="160">
        <v>610.70000000000005</v>
      </c>
      <c r="U179" s="163">
        <f t="shared" si="18"/>
        <v>-2.6307397959183687E-2</v>
      </c>
      <c r="W179" s="164" t="s">
        <v>323</v>
      </c>
      <c r="X179" s="162">
        <v>13141.95</v>
      </c>
      <c r="Y179" s="163">
        <f t="shared" si="19"/>
        <v>-6.0611584071365687E-2</v>
      </c>
      <c r="AA179" s="164" t="s">
        <v>323</v>
      </c>
      <c r="AB179" s="164">
        <v>340.8</v>
      </c>
      <c r="AC179" s="163">
        <f t="shared" si="20"/>
        <v>-8.4437041614055852E-2</v>
      </c>
    </row>
    <row r="180" spans="3:29">
      <c r="C180" s="165">
        <v>44805</v>
      </c>
      <c r="D180" s="164">
        <v>462.52</v>
      </c>
      <c r="E180" s="163">
        <f t="shared" si="14"/>
        <v>0.18896686460502288</v>
      </c>
      <c r="G180" s="161">
        <v>44570</v>
      </c>
      <c r="H180" s="162">
        <v>18255.75</v>
      </c>
      <c r="I180" s="163">
        <f t="shared" si="15"/>
        <v>2.4872703183683509E-2</v>
      </c>
      <c r="K180" s="165">
        <v>44805</v>
      </c>
      <c r="L180" s="164">
        <v>420.45</v>
      </c>
      <c r="M180" s="163">
        <f t="shared" si="16"/>
        <v>-1.140371502468851E-2</v>
      </c>
      <c r="O180" s="165">
        <v>44805</v>
      </c>
      <c r="P180" s="160">
        <v>75.930000000000007</v>
      </c>
      <c r="Q180" s="163">
        <f t="shared" si="17"/>
        <v>1.4508045370615896E-3</v>
      </c>
      <c r="S180" s="165">
        <v>44805</v>
      </c>
      <c r="T180" s="160">
        <v>627.20000000000005</v>
      </c>
      <c r="U180" s="163">
        <f t="shared" si="18"/>
        <v>0.1105799026117753</v>
      </c>
      <c r="W180" s="165">
        <v>44805</v>
      </c>
      <c r="X180" s="162">
        <v>13989.9</v>
      </c>
      <c r="Y180" s="163">
        <f t="shared" si="19"/>
        <v>-6.5361578107081542E-4</v>
      </c>
      <c r="AA180" s="165">
        <v>44805</v>
      </c>
      <c r="AB180" s="164">
        <v>372.23</v>
      </c>
      <c r="AC180" s="163">
        <f t="shared" si="20"/>
        <v>8.9447862738190054E-3</v>
      </c>
    </row>
    <row r="181" spans="3:29">
      <c r="C181" s="165">
        <v>44593</v>
      </c>
      <c r="D181" s="164">
        <v>389.01</v>
      </c>
      <c r="E181" s="163">
        <f t="shared" si="14"/>
        <v>9.8909657320871425E-3</v>
      </c>
      <c r="G181" s="161">
        <v>44563</v>
      </c>
      <c r="H181" s="162">
        <v>17812.7</v>
      </c>
      <c r="I181" s="163">
        <f t="shared" si="15"/>
        <v>2.6428989198486796E-2</v>
      </c>
      <c r="K181" s="165">
        <v>44593</v>
      </c>
      <c r="L181" s="164">
        <v>425.3</v>
      </c>
      <c r="M181" s="163">
        <f t="shared" si="16"/>
        <v>-9.2020966802562887E-3</v>
      </c>
      <c r="O181" s="165">
        <v>44593</v>
      </c>
      <c r="P181" s="160">
        <v>75.819999999999993</v>
      </c>
      <c r="Q181" s="163">
        <f t="shared" si="17"/>
        <v>-7.3317622414245109E-3</v>
      </c>
      <c r="S181" s="165">
        <v>44593</v>
      </c>
      <c r="T181" s="160">
        <v>564.75</v>
      </c>
      <c r="U181" s="163">
        <f t="shared" si="18"/>
        <v>0</v>
      </c>
      <c r="W181" s="165">
        <v>44593</v>
      </c>
      <c r="X181" s="162">
        <v>13999.05</v>
      </c>
      <c r="Y181" s="163">
        <f t="shared" si="19"/>
        <v>1.1861264406448857E-2</v>
      </c>
      <c r="AA181" s="165">
        <v>44593</v>
      </c>
      <c r="AB181" s="164">
        <v>368.93</v>
      </c>
      <c r="AC181" s="163">
        <f t="shared" si="20"/>
        <v>-2.1146192624038163E-2</v>
      </c>
    </row>
    <row r="182" spans="3:29">
      <c r="C182" s="164" t="s">
        <v>324</v>
      </c>
      <c r="D182" s="164">
        <v>385.2</v>
      </c>
      <c r="E182" s="163">
        <f t="shared" si="14"/>
        <v>3.6905434870386777E-2</v>
      </c>
      <c r="G182" s="161">
        <v>44556</v>
      </c>
      <c r="H182" s="162">
        <v>17354.05</v>
      </c>
      <c r="I182" s="163">
        <f t="shared" si="15"/>
        <v>2.0601337940160169E-2</v>
      </c>
      <c r="K182" s="164" t="s">
        <v>324</v>
      </c>
      <c r="L182" s="164">
        <v>429.25</v>
      </c>
      <c r="M182" s="163">
        <f t="shared" si="16"/>
        <v>8.0961974313774832E-2</v>
      </c>
      <c r="O182" s="164" t="s">
        <v>324</v>
      </c>
      <c r="P182" s="160">
        <v>76.38</v>
      </c>
      <c r="Q182" s="163">
        <f t="shared" si="17"/>
        <v>8.9828269484808487E-3</v>
      </c>
      <c r="S182" s="164" t="s">
        <v>324</v>
      </c>
      <c r="T182" s="160">
        <v>564.75</v>
      </c>
      <c r="U182" s="163">
        <f t="shared" si="18"/>
        <v>4.7190802892638661E-2</v>
      </c>
      <c r="W182" s="164" t="s">
        <v>324</v>
      </c>
      <c r="X182" s="162">
        <v>13834.95</v>
      </c>
      <c r="Y182" s="163">
        <f t="shared" si="19"/>
        <v>6.4513522871542328E-2</v>
      </c>
      <c r="AA182" s="164" t="s">
        <v>324</v>
      </c>
      <c r="AB182" s="164">
        <v>376.9</v>
      </c>
      <c r="AC182" s="163">
        <f t="shared" si="20"/>
        <v>6.1398825413774283E-3</v>
      </c>
    </row>
    <row r="183" spans="3:29">
      <c r="C183" s="164" t="s">
        <v>325</v>
      </c>
      <c r="D183" s="164">
        <v>371.49</v>
      </c>
      <c r="E183" s="163">
        <f t="shared" si="14"/>
        <v>-3.5416612572378159E-2</v>
      </c>
      <c r="G183" s="161">
        <v>44549</v>
      </c>
      <c r="H183" s="162">
        <v>17003.75</v>
      </c>
      <c r="I183" s="163">
        <f t="shared" si="15"/>
        <v>1.0921272637354207E-3</v>
      </c>
      <c r="K183" s="164" t="s">
        <v>325</v>
      </c>
      <c r="L183" s="164">
        <v>397.1</v>
      </c>
      <c r="M183" s="163">
        <f t="shared" si="16"/>
        <v>-5.2605210420840764E-3</v>
      </c>
      <c r="O183" s="164" t="s">
        <v>325</v>
      </c>
      <c r="P183" s="160">
        <v>75.7</v>
      </c>
      <c r="Q183" s="163">
        <f t="shared" si="17"/>
        <v>-8.9028541503010095E-3</v>
      </c>
      <c r="S183" s="164" t="s">
        <v>325</v>
      </c>
      <c r="T183" s="160">
        <v>539.29999999999995</v>
      </c>
      <c r="U183" s="163">
        <f t="shared" si="18"/>
        <v>-1.766848816029154E-2</v>
      </c>
      <c r="W183" s="164" t="s">
        <v>325</v>
      </c>
      <c r="X183" s="162">
        <v>12996.5</v>
      </c>
      <c r="Y183" s="163">
        <f t="shared" si="19"/>
        <v>4.1778554423540948E-2</v>
      </c>
      <c r="AA183" s="164" t="s">
        <v>325</v>
      </c>
      <c r="AB183" s="164">
        <v>374.6</v>
      </c>
      <c r="AC183" s="163">
        <f t="shared" si="20"/>
        <v>-3.0074787746520171E-3</v>
      </c>
    </row>
    <row r="184" spans="3:29">
      <c r="C184" s="165">
        <v>44542</v>
      </c>
      <c r="D184" s="164">
        <v>385.13</v>
      </c>
      <c r="E184" s="163">
        <f t="shared" si="14"/>
        <v>-4.213196707041067E-2</v>
      </c>
      <c r="G184" s="161">
        <v>44542</v>
      </c>
      <c r="H184" s="162">
        <v>16985.2</v>
      </c>
      <c r="I184" s="163">
        <f t="shared" si="15"/>
        <v>-3.004345765305827E-2</v>
      </c>
      <c r="K184" s="165">
        <v>44542</v>
      </c>
      <c r="L184" s="164">
        <v>399.2</v>
      </c>
      <c r="M184" s="163">
        <f t="shared" si="16"/>
        <v>-2.1808380298946384E-2</v>
      </c>
      <c r="O184" s="165">
        <v>44542</v>
      </c>
      <c r="P184" s="160">
        <v>76.38</v>
      </c>
      <c r="Q184" s="163">
        <f t="shared" si="17"/>
        <v>-5.2709909462979043E-2</v>
      </c>
      <c r="S184" s="165">
        <v>44542</v>
      </c>
      <c r="T184" s="160">
        <v>549</v>
      </c>
      <c r="U184" s="163">
        <f t="shared" si="18"/>
        <v>1.3102048348403894E-2</v>
      </c>
      <c r="W184" s="165">
        <v>44542</v>
      </c>
      <c r="X184" s="162">
        <v>12475.3</v>
      </c>
      <c r="Y184" s="163">
        <f t="shared" si="19"/>
        <v>-7.5026691974613091E-2</v>
      </c>
      <c r="AA184" s="165">
        <v>44542</v>
      </c>
      <c r="AB184" s="164">
        <v>375.73</v>
      </c>
      <c r="AC184" s="163">
        <f t="shared" si="20"/>
        <v>-5.3529145045090432E-2</v>
      </c>
    </row>
    <row r="185" spans="3:29">
      <c r="C185" s="165">
        <v>44328</v>
      </c>
      <c r="D185" s="164">
        <v>402.07</v>
      </c>
      <c r="E185" s="163">
        <f t="shared" si="14"/>
        <v>7.5197218879529348E-2</v>
      </c>
      <c r="G185" s="161">
        <v>44535</v>
      </c>
      <c r="H185" s="162">
        <v>17511.3</v>
      </c>
      <c r="I185" s="163">
        <f t="shared" si="15"/>
        <v>1.8294207609599322E-2</v>
      </c>
      <c r="K185" s="165">
        <v>44328</v>
      </c>
      <c r="L185" s="164">
        <v>408.1</v>
      </c>
      <c r="M185" s="163">
        <f t="shared" si="16"/>
        <v>4.6410256410256423E-2</v>
      </c>
      <c r="O185" s="165">
        <v>44328</v>
      </c>
      <c r="P185" s="160">
        <v>80.63</v>
      </c>
      <c r="Q185" s="163">
        <f t="shared" si="17"/>
        <v>2.3093516051262419E-2</v>
      </c>
      <c r="S185" s="165">
        <v>44328</v>
      </c>
      <c r="T185" s="160">
        <v>541.9</v>
      </c>
      <c r="U185" s="163">
        <f t="shared" si="18"/>
        <v>1.2234986457457575E-2</v>
      </c>
      <c r="W185" s="165">
        <v>44328</v>
      </c>
      <c r="X185" s="162">
        <v>13487.2</v>
      </c>
      <c r="Y185" s="163">
        <f t="shared" si="19"/>
        <v>5.2171839131860409E-3</v>
      </c>
      <c r="AA185" s="165">
        <v>44328</v>
      </c>
      <c r="AB185" s="164">
        <v>396.98</v>
      </c>
      <c r="AC185" s="163">
        <f t="shared" si="20"/>
        <v>3.6501305483028768E-2</v>
      </c>
    </row>
    <row r="186" spans="3:29">
      <c r="C186" s="164" t="s">
        <v>326</v>
      </c>
      <c r="D186" s="164">
        <v>373.95</v>
      </c>
      <c r="E186" s="163">
        <f t="shared" si="14"/>
        <v>5.5938329474219284E-2</v>
      </c>
      <c r="G186" s="161">
        <v>44528</v>
      </c>
      <c r="H186" s="162">
        <v>17196.7</v>
      </c>
      <c r="I186" s="163">
        <f t="shared" si="15"/>
        <v>9.9991483838381967E-3</v>
      </c>
      <c r="K186" s="164" t="s">
        <v>326</v>
      </c>
      <c r="L186" s="164">
        <v>390</v>
      </c>
      <c r="M186" s="163">
        <f t="shared" si="16"/>
        <v>3.9861351819757251E-2</v>
      </c>
      <c r="O186" s="164" t="s">
        <v>326</v>
      </c>
      <c r="P186" s="160">
        <v>78.81</v>
      </c>
      <c r="Q186" s="163">
        <f t="shared" si="17"/>
        <v>2.5442055718103429E-3</v>
      </c>
      <c r="S186" s="164" t="s">
        <v>326</v>
      </c>
      <c r="T186" s="160">
        <v>535.35</v>
      </c>
      <c r="U186" s="163">
        <f t="shared" si="18"/>
        <v>-9.3449296817171845E-3</v>
      </c>
      <c r="W186" s="164" t="s">
        <v>326</v>
      </c>
      <c r="X186" s="162">
        <v>13417.2</v>
      </c>
      <c r="Y186" s="163">
        <f t="shared" si="19"/>
        <v>-2.3663988822912985E-2</v>
      </c>
      <c r="AA186" s="164" t="s">
        <v>326</v>
      </c>
      <c r="AB186" s="164">
        <v>383</v>
      </c>
      <c r="AC186" s="163">
        <f t="shared" si="20"/>
        <v>-5.1604595879556237E-2</v>
      </c>
    </row>
    <row r="187" spans="3:29">
      <c r="C187" s="164" t="s">
        <v>327</v>
      </c>
      <c r="D187" s="164">
        <v>354.14</v>
      </c>
      <c r="E187" s="163">
        <f t="shared" si="14"/>
        <v>-5.1173507662629958E-2</v>
      </c>
      <c r="G187" s="161">
        <v>44521</v>
      </c>
      <c r="H187" s="162">
        <v>17026.45</v>
      </c>
      <c r="I187" s="163">
        <f t="shared" si="15"/>
        <v>-4.1562528145546174E-2</v>
      </c>
      <c r="K187" s="164" t="s">
        <v>327</v>
      </c>
      <c r="L187" s="164">
        <v>375.05</v>
      </c>
      <c r="M187" s="163">
        <f t="shared" si="16"/>
        <v>-6.4246506986027963E-2</v>
      </c>
      <c r="O187" s="164" t="s">
        <v>327</v>
      </c>
      <c r="P187" s="160">
        <v>78.61</v>
      </c>
      <c r="Q187" s="163">
        <f t="shared" si="17"/>
        <v>-1.7497812773403343E-2</v>
      </c>
      <c r="S187" s="164" t="s">
        <v>327</v>
      </c>
      <c r="T187" s="160">
        <v>540.4</v>
      </c>
      <c r="U187" s="163">
        <f t="shared" si="18"/>
        <v>-1.2426900584795453E-2</v>
      </c>
      <c r="W187" s="164" t="s">
        <v>327</v>
      </c>
      <c r="X187" s="162">
        <v>13742.4</v>
      </c>
      <c r="Y187" s="163">
        <f t="shared" si="19"/>
        <v>3.6260064632742672E-3</v>
      </c>
      <c r="AA187" s="164" t="s">
        <v>327</v>
      </c>
      <c r="AB187" s="164">
        <v>403.84</v>
      </c>
      <c r="AC187" s="163">
        <f t="shared" si="20"/>
        <v>1.9813750743002956E-4</v>
      </c>
    </row>
    <row r="188" spans="3:29">
      <c r="C188" s="164" t="s">
        <v>328</v>
      </c>
      <c r="D188" s="164">
        <v>373.24</v>
      </c>
      <c r="E188" s="163">
        <f t="shared" si="14"/>
        <v>-2.8602659865184954E-2</v>
      </c>
      <c r="G188" s="161">
        <v>44514</v>
      </c>
      <c r="H188" s="162">
        <v>17764.8</v>
      </c>
      <c r="I188" s="163">
        <f t="shared" si="15"/>
        <v>-1.8668434353896535E-2</v>
      </c>
      <c r="K188" s="164" t="s">
        <v>328</v>
      </c>
      <c r="L188" s="164">
        <v>400.8</v>
      </c>
      <c r="M188" s="163">
        <f t="shared" si="16"/>
        <v>2.940798767176056E-2</v>
      </c>
      <c r="O188" s="164" t="s">
        <v>328</v>
      </c>
      <c r="P188" s="160">
        <v>80.010000000000005</v>
      </c>
      <c r="Q188" s="163">
        <f t="shared" si="17"/>
        <v>-1.1734189723319965E-2</v>
      </c>
      <c r="S188" s="164" t="s">
        <v>328</v>
      </c>
      <c r="T188" s="160">
        <v>547.20000000000005</v>
      </c>
      <c r="U188" s="163">
        <f t="shared" si="18"/>
        <v>-2.4772767777579752E-2</v>
      </c>
      <c r="W188" s="164" t="s">
        <v>328</v>
      </c>
      <c r="X188" s="162">
        <v>13692.75</v>
      </c>
      <c r="Y188" s="163">
        <f t="shared" si="19"/>
        <v>-0.12907626843742248</v>
      </c>
      <c r="AA188" s="164" t="s">
        <v>328</v>
      </c>
      <c r="AB188" s="164">
        <v>403.76</v>
      </c>
      <c r="AC188" s="163">
        <f t="shared" si="20"/>
        <v>-1.86899987847855E-2</v>
      </c>
    </row>
    <row r="189" spans="3:29">
      <c r="C189" s="165">
        <v>44388</v>
      </c>
      <c r="D189" s="164">
        <v>384.23</v>
      </c>
      <c r="E189" s="163">
        <f t="shared" si="14"/>
        <v>2.2432636878211287E-3</v>
      </c>
      <c r="G189" s="161">
        <v>44507</v>
      </c>
      <c r="H189" s="162">
        <v>18102.75</v>
      </c>
      <c r="I189" s="163">
        <f t="shared" si="15"/>
        <v>1.0378527415610073E-2</v>
      </c>
      <c r="K189" s="165">
        <v>44388</v>
      </c>
      <c r="L189" s="164">
        <v>389.35</v>
      </c>
      <c r="M189" s="163">
        <f t="shared" si="16"/>
        <v>3.996905621454383E-3</v>
      </c>
      <c r="O189" s="165">
        <v>44388</v>
      </c>
      <c r="P189" s="160">
        <v>80.959999999999994</v>
      </c>
      <c r="Q189" s="163">
        <f t="shared" si="17"/>
        <v>-4.041720990873543E-2</v>
      </c>
      <c r="S189" s="165">
        <v>44388</v>
      </c>
      <c r="T189" s="160">
        <v>561.1</v>
      </c>
      <c r="U189" s="163">
        <f t="shared" si="18"/>
        <v>8.0848005749192264E-3</v>
      </c>
      <c r="W189" s="165">
        <v>44388</v>
      </c>
      <c r="X189" s="162">
        <v>15722.1</v>
      </c>
      <c r="Y189" s="163">
        <f t="shared" si="19"/>
        <v>-5.4261420884676892E-2</v>
      </c>
      <c r="AA189" s="165">
        <v>44388</v>
      </c>
      <c r="AB189" s="164">
        <v>411.45</v>
      </c>
      <c r="AC189" s="163">
        <f t="shared" si="20"/>
        <v>2.4119280806900179E-3</v>
      </c>
    </row>
    <row r="190" spans="3:29">
      <c r="C190" s="164" t="s">
        <v>329</v>
      </c>
      <c r="D190" s="164">
        <v>383.37</v>
      </c>
      <c r="E190" s="163">
        <f t="shared" si="14"/>
        <v>2.4889055231781088E-2</v>
      </c>
      <c r="G190" s="161">
        <v>44500</v>
      </c>
      <c r="H190" s="162">
        <v>17916.8</v>
      </c>
      <c r="I190" s="163">
        <f t="shared" si="15"/>
        <v>1.3872502001793796E-2</v>
      </c>
      <c r="K190" s="164" t="s">
        <v>329</v>
      </c>
      <c r="L190" s="164">
        <v>387.8</v>
      </c>
      <c r="M190" s="163">
        <f t="shared" si="16"/>
        <v>1.9185282522996117E-2</v>
      </c>
      <c r="O190" s="164" t="s">
        <v>329</v>
      </c>
      <c r="P190" s="160">
        <v>84.37</v>
      </c>
      <c r="Q190" s="163">
        <f t="shared" si="17"/>
        <v>4.9117135041034654E-2</v>
      </c>
      <c r="S190" s="164" t="s">
        <v>329</v>
      </c>
      <c r="T190" s="160">
        <v>556.6</v>
      </c>
      <c r="U190" s="163">
        <f t="shared" si="18"/>
        <v>-3.5919540229867319E-4</v>
      </c>
      <c r="W190" s="164" t="s">
        <v>329</v>
      </c>
      <c r="X190" s="162">
        <v>16624.150000000001</v>
      </c>
      <c r="Y190" s="163">
        <f t="shared" si="19"/>
        <v>6.4537416263308334E-3</v>
      </c>
      <c r="AA190" s="164" t="s">
        <v>329</v>
      </c>
      <c r="AB190" s="164">
        <v>410.46</v>
      </c>
      <c r="AC190" s="163">
        <f t="shared" si="20"/>
        <v>-1.0708201508883297E-3</v>
      </c>
    </row>
    <row r="191" spans="3:29">
      <c r="C191" s="164" t="s">
        <v>330</v>
      </c>
      <c r="D191" s="164">
        <v>374.06</v>
      </c>
      <c r="E191" s="163">
        <f t="shared" si="14"/>
        <v>-3.0681523710805791E-2</v>
      </c>
      <c r="G191" s="161">
        <v>44493</v>
      </c>
      <c r="H191" s="162">
        <v>17671.650000000001</v>
      </c>
      <c r="I191" s="163">
        <f t="shared" si="15"/>
        <v>-2.4468807445804264E-2</v>
      </c>
      <c r="K191" s="164" t="s">
        <v>330</v>
      </c>
      <c r="L191" s="164">
        <v>380.5</v>
      </c>
      <c r="M191" s="163">
        <f t="shared" si="16"/>
        <v>3.975952999043586E-2</v>
      </c>
      <c r="O191" s="164" t="s">
        <v>330</v>
      </c>
      <c r="P191" s="160">
        <v>80.42</v>
      </c>
      <c r="Q191" s="163">
        <f t="shared" si="17"/>
        <v>-8.7513866633797122E-3</v>
      </c>
      <c r="S191" s="164" t="s">
        <v>330</v>
      </c>
      <c r="T191" s="160">
        <v>556.79999999999995</v>
      </c>
      <c r="U191" s="163">
        <f t="shared" si="18"/>
        <v>-6.2819707439654149E-4</v>
      </c>
      <c r="W191" s="164" t="s">
        <v>330</v>
      </c>
      <c r="X191" s="162">
        <v>16517.55</v>
      </c>
      <c r="Y191" s="163">
        <f t="shared" si="19"/>
        <v>-2.3595027398960911E-2</v>
      </c>
      <c r="AA191" s="164" t="s">
        <v>330</v>
      </c>
      <c r="AB191" s="164">
        <v>410.9</v>
      </c>
      <c r="AC191" s="163">
        <f t="shared" si="20"/>
        <v>-3.833551769331589E-2</v>
      </c>
    </row>
    <row r="192" spans="3:29">
      <c r="C192" s="164" t="s">
        <v>331</v>
      </c>
      <c r="D192" s="164">
        <v>385.9</v>
      </c>
      <c r="E192" s="163">
        <f t="shared" si="14"/>
        <v>-5.0092307692307769E-2</v>
      </c>
      <c r="G192" s="161">
        <v>44486</v>
      </c>
      <c r="H192" s="162">
        <v>18114.900000000001</v>
      </c>
      <c r="I192" s="163">
        <f t="shared" si="15"/>
        <v>-1.2195620700655052E-2</v>
      </c>
      <c r="K192" s="164" t="s">
        <v>331</v>
      </c>
      <c r="L192" s="164">
        <v>365.95</v>
      </c>
      <c r="M192" s="163">
        <f t="shared" si="16"/>
        <v>-0.1097190122856101</v>
      </c>
      <c r="O192" s="164" t="s">
        <v>331</v>
      </c>
      <c r="P192" s="160">
        <v>81.13</v>
      </c>
      <c r="Q192" s="163">
        <f t="shared" si="17"/>
        <v>-4.5529411764705929E-2</v>
      </c>
      <c r="S192" s="164" t="s">
        <v>331</v>
      </c>
      <c r="T192" s="160">
        <v>557.15</v>
      </c>
      <c r="U192" s="163">
        <f t="shared" si="18"/>
        <v>-2.2886706418800529E-2</v>
      </c>
      <c r="W192" s="164" t="s">
        <v>331</v>
      </c>
      <c r="X192" s="162">
        <v>16916.7</v>
      </c>
      <c r="Y192" s="163">
        <f t="shared" si="19"/>
        <v>-6.12472531131385E-2</v>
      </c>
      <c r="AA192" s="164" t="s">
        <v>331</v>
      </c>
      <c r="AB192" s="164">
        <v>427.28</v>
      </c>
      <c r="AC192" s="163">
        <f t="shared" si="20"/>
        <v>-7.6810059849188761E-2</v>
      </c>
    </row>
    <row r="193" spans="3:29">
      <c r="C193" s="165">
        <v>44479</v>
      </c>
      <c r="D193" s="164">
        <v>406.25</v>
      </c>
      <c r="E193" s="163">
        <f t="shared" si="14"/>
        <v>-3.1164114644679497E-3</v>
      </c>
      <c r="G193" s="161">
        <v>44479</v>
      </c>
      <c r="H193" s="162">
        <v>18338.55</v>
      </c>
      <c r="I193" s="163">
        <f t="shared" si="15"/>
        <v>2.4774799946354342E-2</v>
      </c>
      <c r="K193" s="165">
        <v>44479</v>
      </c>
      <c r="L193" s="164">
        <v>411.05</v>
      </c>
      <c r="M193" s="163">
        <f t="shared" si="16"/>
        <v>-4.1187159297395581E-3</v>
      </c>
      <c r="O193" s="165">
        <v>44479</v>
      </c>
      <c r="P193" s="160">
        <v>85</v>
      </c>
      <c r="Q193" s="163">
        <f t="shared" si="17"/>
        <v>-2.0737327188940058E-2</v>
      </c>
      <c r="S193" s="165">
        <v>44479</v>
      </c>
      <c r="T193" s="160">
        <v>570.20000000000005</v>
      </c>
      <c r="U193" s="163">
        <f t="shared" si="18"/>
        <v>-2.1619766643788507E-2</v>
      </c>
      <c r="W193" s="165">
        <v>44479</v>
      </c>
      <c r="X193" s="162">
        <v>18020.400000000001</v>
      </c>
      <c r="Y193" s="163">
        <f t="shared" si="19"/>
        <v>-6.4726703348806369E-3</v>
      </c>
      <c r="AA193" s="165">
        <v>44479</v>
      </c>
      <c r="AB193" s="164">
        <v>462.83</v>
      </c>
      <c r="AC193" s="163">
        <f t="shared" si="20"/>
        <v>-2.2224569557410034E-2</v>
      </c>
    </row>
    <row r="194" spans="3:29">
      <c r="C194" s="165">
        <v>44265</v>
      </c>
      <c r="D194" s="164">
        <v>407.52</v>
      </c>
      <c r="E194" s="163">
        <f t="shared" si="14"/>
        <v>4.1025903029683786E-2</v>
      </c>
      <c r="G194" s="161">
        <v>44472</v>
      </c>
      <c r="H194" s="162">
        <v>17895.2</v>
      </c>
      <c r="I194" s="163">
        <f t="shared" si="15"/>
        <v>2.0713493288006868E-2</v>
      </c>
      <c r="K194" s="165">
        <v>44265</v>
      </c>
      <c r="L194" s="164">
        <v>412.75</v>
      </c>
      <c r="M194" s="163">
        <f t="shared" si="16"/>
        <v>7.6551904016692873E-2</v>
      </c>
      <c r="O194" s="165">
        <v>44265</v>
      </c>
      <c r="P194" s="160">
        <v>86.8</v>
      </c>
      <c r="Q194" s="163">
        <f t="shared" si="17"/>
        <v>5.8407511279112256E-2</v>
      </c>
      <c r="S194" s="165">
        <v>44265</v>
      </c>
      <c r="T194" s="160">
        <v>582.79999999999995</v>
      </c>
      <c r="U194" s="163">
        <f t="shared" si="18"/>
        <v>6.031110706813414E-2</v>
      </c>
      <c r="W194" s="165">
        <v>44265</v>
      </c>
      <c r="X194" s="162">
        <v>18137.8</v>
      </c>
      <c r="Y194" s="163">
        <f t="shared" si="19"/>
        <v>2.7506408531490223E-2</v>
      </c>
      <c r="AA194" s="165">
        <v>44265</v>
      </c>
      <c r="AB194" s="164">
        <v>473.35</v>
      </c>
      <c r="AC194" s="163">
        <f t="shared" si="20"/>
        <v>1.9733298864688997E-2</v>
      </c>
    </row>
    <row r="195" spans="3:29">
      <c r="C195" s="164" t="s">
        <v>332</v>
      </c>
      <c r="D195" s="164">
        <v>391.46</v>
      </c>
      <c r="E195" s="163">
        <f t="shared" si="14"/>
        <v>-2.0958383353341326E-2</v>
      </c>
      <c r="G195" s="161">
        <v>44465</v>
      </c>
      <c r="H195" s="162">
        <v>17532.05</v>
      </c>
      <c r="I195" s="163">
        <f t="shared" si="15"/>
        <v>-1.7988371832500683E-2</v>
      </c>
      <c r="K195" s="164" t="s">
        <v>332</v>
      </c>
      <c r="L195" s="164">
        <v>383.4</v>
      </c>
      <c r="M195" s="163">
        <f t="shared" si="16"/>
        <v>-2.0439448134900395E-2</v>
      </c>
      <c r="O195" s="164" t="s">
        <v>332</v>
      </c>
      <c r="P195" s="160">
        <v>82.01</v>
      </c>
      <c r="Q195" s="163">
        <f t="shared" si="17"/>
        <v>2.567237163814351E-3</v>
      </c>
      <c r="S195" s="164" t="s">
        <v>332</v>
      </c>
      <c r="T195" s="160">
        <v>549.65</v>
      </c>
      <c r="U195" s="163">
        <f t="shared" si="18"/>
        <v>-8.6572278834882166E-3</v>
      </c>
      <c r="W195" s="164" t="s">
        <v>332</v>
      </c>
      <c r="X195" s="162">
        <v>17652.25</v>
      </c>
      <c r="Y195" s="163">
        <f t="shared" si="19"/>
        <v>-4.2724822533500295E-2</v>
      </c>
      <c r="AA195" s="164" t="s">
        <v>332</v>
      </c>
      <c r="AB195" s="164">
        <v>464.19</v>
      </c>
      <c r="AC195" s="163">
        <f t="shared" si="20"/>
        <v>-1.3243484545725104E-2</v>
      </c>
    </row>
    <row r="196" spans="3:29">
      <c r="C196" s="164" t="s">
        <v>333</v>
      </c>
      <c r="D196" s="164">
        <v>399.84</v>
      </c>
      <c r="E196" s="163">
        <f t="shared" si="14"/>
        <v>-4.7496437767169386E-4</v>
      </c>
      <c r="G196" s="161">
        <v>44458</v>
      </c>
      <c r="H196" s="162">
        <v>17853.2</v>
      </c>
      <c r="I196" s="163">
        <f t="shared" si="15"/>
        <v>1.5242974896432449E-2</v>
      </c>
      <c r="K196" s="164" t="s">
        <v>333</v>
      </c>
      <c r="L196" s="164">
        <v>391.4</v>
      </c>
      <c r="M196" s="163">
        <f t="shared" si="16"/>
        <v>-1.509813789632608E-2</v>
      </c>
      <c r="O196" s="164" t="s">
        <v>333</v>
      </c>
      <c r="P196" s="160">
        <v>81.8</v>
      </c>
      <c r="Q196" s="163">
        <f t="shared" si="17"/>
        <v>3.9273441335296866E-3</v>
      </c>
      <c r="S196" s="164" t="s">
        <v>333</v>
      </c>
      <c r="T196" s="160">
        <v>554.45000000000005</v>
      </c>
      <c r="U196" s="163">
        <f t="shared" si="18"/>
        <v>2.7061158217578374E-4</v>
      </c>
      <c r="W196" s="164" t="s">
        <v>333</v>
      </c>
      <c r="X196" s="162">
        <v>18440.099999999999</v>
      </c>
      <c r="Y196" s="163">
        <f t="shared" si="19"/>
        <v>-1.5919182000597831E-2</v>
      </c>
      <c r="AA196" s="164" t="s">
        <v>333</v>
      </c>
      <c r="AB196" s="164">
        <v>470.42</v>
      </c>
      <c r="AC196" s="163">
        <f t="shared" si="20"/>
        <v>-2.2524207289199127E-2</v>
      </c>
    </row>
    <row r="197" spans="3:29">
      <c r="C197" s="165">
        <v>44539</v>
      </c>
      <c r="D197" s="164">
        <v>400.03</v>
      </c>
      <c r="E197" s="163">
        <f t="shared" si="14"/>
        <v>-2.5006702576226725E-2</v>
      </c>
      <c r="G197" s="161">
        <v>44451</v>
      </c>
      <c r="H197" s="162">
        <v>17585.150000000001</v>
      </c>
      <c r="I197" s="163">
        <f t="shared" si="15"/>
        <v>1.2430012809994784E-2</v>
      </c>
      <c r="K197" s="165">
        <v>44539</v>
      </c>
      <c r="L197" s="164">
        <v>397.4</v>
      </c>
      <c r="M197" s="163">
        <f t="shared" si="16"/>
        <v>-1.2793441808471084E-2</v>
      </c>
      <c r="O197" s="165">
        <v>44539</v>
      </c>
      <c r="P197" s="160">
        <v>81.48</v>
      </c>
      <c r="Q197" s="163">
        <f t="shared" si="17"/>
        <v>4.5017314351673887E-2</v>
      </c>
      <c r="S197" s="165">
        <v>44539</v>
      </c>
      <c r="T197" s="160">
        <v>554.29999999999995</v>
      </c>
      <c r="U197" s="163">
        <f t="shared" si="18"/>
        <v>-7.1646068421995501E-3</v>
      </c>
      <c r="W197" s="165">
        <v>44539</v>
      </c>
      <c r="X197" s="162">
        <v>18738.400000000001</v>
      </c>
      <c r="Y197" s="163">
        <f t="shared" si="19"/>
        <v>9.680070047821232E-3</v>
      </c>
      <c r="AA197" s="165">
        <v>44539</v>
      </c>
      <c r="AB197" s="164">
        <v>481.26</v>
      </c>
      <c r="AC197" s="163">
        <f t="shared" si="20"/>
        <v>1.2134850364886818E-2</v>
      </c>
    </row>
    <row r="198" spans="3:29">
      <c r="C198" s="165">
        <v>44325</v>
      </c>
      <c r="D198" s="164">
        <v>410.29</v>
      </c>
      <c r="E198" s="163">
        <f t="shared" si="14"/>
        <v>1.221197019785869E-2</v>
      </c>
      <c r="G198" s="161">
        <v>44444</v>
      </c>
      <c r="H198" s="162">
        <v>17369.25</v>
      </c>
      <c r="I198" s="163">
        <f t="shared" si="15"/>
        <v>2.6351335750076643E-3</v>
      </c>
      <c r="K198" s="165">
        <v>44325</v>
      </c>
      <c r="L198" s="164">
        <v>402.55</v>
      </c>
      <c r="M198" s="163">
        <f t="shared" si="16"/>
        <v>-5.3125772176920716E-3</v>
      </c>
      <c r="O198" s="165">
        <v>44325</v>
      </c>
      <c r="P198" s="160">
        <v>77.97</v>
      </c>
      <c r="Q198" s="163">
        <f t="shared" si="17"/>
        <v>3.4749034749035346E-3</v>
      </c>
      <c r="S198" s="165">
        <v>44325</v>
      </c>
      <c r="T198" s="160">
        <v>558.29999999999995</v>
      </c>
      <c r="U198" s="163">
        <f t="shared" si="18"/>
        <v>-4.0139149050040235E-3</v>
      </c>
      <c r="W198" s="165">
        <v>44325</v>
      </c>
      <c r="X198" s="162">
        <v>18558.75</v>
      </c>
      <c r="Y198" s="163">
        <f t="shared" si="19"/>
        <v>-1.6642955356504063E-2</v>
      </c>
      <c r="AA198" s="165">
        <v>44325</v>
      </c>
      <c r="AB198" s="164">
        <v>475.49</v>
      </c>
      <c r="AC198" s="163">
        <f t="shared" si="20"/>
        <v>3.3202233762847477E-2</v>
      </c>
    </row>
    <row r="199" spans="3:29">
      <c r="C199" s="164" t="s">
        <v>334</v>
      </c>
      <c r="D199" s="164">
        <v>405.34</v>
      </c>
      <c r="E199" s="163">
        <f t="shared" si="14"/>
        <v>0.1238216701785515</v>
      </c>
      <c r="G199" s="161">
        <v>44437</v>
      </c>
      <c r="H199" s="162">
        <v>17323.599999999999</v>
      </c>
      <c r="I199" s="163">
        <f t="shared" si="15"/>
        <v>3.7018413428153929E-2</v>
      </c>
      <c r="K199" s="164" t="s">
        <v>334</v>
      </c>
      <c r="L199" s="164">
        <v>404.7</v>
      </c>
      <c r="M199" s="163">
        <f t="shared" si="16"/>
        <v>6.1090718405873101E-2</v>
      </c>
      <c r="O199" s="164" t="s">
        <v>334</v>
      </c>
      <c r="P199" s="160">
        <v>77.7</v>
      </c>
      <c r="Q199" s="163">
        <f t="shared" si="17"/>
        <v>-1.6206634591035773E-2</v>
      </c>
      <c r="S199" s="164" t="s">
        <v>334</v>
      </c>
      <c r="T199" s="160">
        <v>560.54999999999995</v>
      </c>
      <c r="U199" s="163">
        <f t="shared" si="18"/>
        <v>-9.0161760806152236E-3</v>
      </c>
      <c r="W199" s="164" t="s">
        <v>334</v>
      </c>
      <c r="X199" s="162">
        <v>18872.849999999999</v>
      </c>
      <c r="Y199" s="163">
        <f t="shared" si="19"/>
        <v>3.1991272870438126E-2</v>
      </c>
      <c r="AA199" s="164" t="s">
        <v>334</v>
      </c>
      <c r="AB199" s="164">
        <v>460.21</v>
      </c>
      <c r="AC199" s="163">
        <f t="shared" si="20"/>
        <v>-4.090023804371401E-3</v>
      </c>
    </row>
    <row r="200" spans="3:29">
      <c r="C200" s="164" t="s">
        <v>335</v>
      </c>
      <c r="D200" s="164">
        <v>360.68</v>
      </c>
      <c r="E200" s="163">
        <f t="shared" si="14"/>
        <v>5.9686506387013338E-3</v>
      </c>
      <c r="G200" s="161">
        <v>44430</v>
      </c>
      <c r="H200" s="162">
        <v>16705.2</v>
      </c>
      <c r="I200" s="163">
        <f t="shared" si="15"/>
        <v>1.5482812072581398E-2</v>
      </c>
      <c r="K200" s="164" t="s">
        <v>335</v>
      </c>
      <c r="L200" s="164">
        <v>381.4</v>
      </c>
      <c r="M200" s="163">
        <f t="shared" si="16"/>
        <v>1.0063559322033733E-2</v>
      </c>
      <c r="O200" s="164" t="s">
        <v>335</v>
      </c>
      <c r="P200" s="160">
        <v>78.98</v>
      </c>
      <c r="Q200" s="163">
        <f t="shared" si="17"/>
        <v>-2.3250061835270786E-2</v>
      </c>
      <c r="S200" s="164" t="s">
        <v>335</v>
      </c>
      <c r="T200" s="160">
        <v>565.65</v>
      </c>
      <c r="U200" s="163">
        <f t="shared" si="18"/>
        <v>3.6463582226293978E-2</v>
      </c>
      <c r="W200" s="164" t="s">
        <v>335</v>
      </c>
      <c r="X200" s="162">
        <v>18287.8</v>
      </c>
      <c r="Y200" s="163">
        <f t="shared" si="19"/>
        <v>8.6704245860589335E-3</v>
      </c>
      <c r="AA200" s="164" t="s">
        <v>335</v>
      </c>
      <c r="AB200" s="164">
        <v>462.1</v>
      </c>
      <c r="AC200" s="163">
        <f t="shared" si="20"/>
        <v>5.6180288901078956E-2</v>
      </c>
    </row>
    <row r="201" spans="3:29">
      <c r="C201" s="164" t="s">
        <v>336</v>
      </c>
      <c r="D201" s="164">
        <v>358.54</v>
      </c>
      <c r="E201" s="163">
        <f t="shared" si="14"/>
        <v>-7.4830985188625632E-2</v>
      </c>
      <c r="G201" s="161">
        <v>44423</v>
      </c>
      <c r="H201" s="162">
        <v>16450.5</v>
      </c>
      <c r="I201" s="163">
        <f t="shared" si="15"/>
        <v>-4.7552498321141723E-3</v>
      </c>
      <c r="K201" s="164" t="s">
        <v>336</v>
      </c>
      <c r="L201" s="164">
        <v>377.6</v>
      </c>
      <c r="M201" s="163">
        <f t="shared" si="16"/>
        <v>-7.3715196860051457E-2</v>
      </c>
      <c r="O201" s="164" t="s">
        <v>336</v>
      </c>
      <c r="P201" s="160">
        <v>80.86</v>
      </c>
      <c r="Q201" s="163">
        <f t="shared" si="17"/>
        <v>-2.7133695115935108E-3</v>
      </c>
      <c r="S201" s="164" t="s">
        <v>336</v>
      </c>
      <c r="T201" s="160">
        <v>545.75</v>
      </c>
      <c r="U201" s="163">
        <f t="shared" si="18"/>
        <v>-7.0510091118112905E-2</v>
      </c>
      <c r="W201" s="164" t="s">
        <v>336</v>
      </c>
      <c r="X201" s="162">
        <v>18130.599999999999</v>
      </c>
      <c r="Y201" s="163">
        <f t="shared" si="19"/>
        <v>-4.3065887984883866E-2</v>
      </c>
      <c r="AA201" s="164" t="s">
        <v>336</v>
      </c>
      <c r="AB201" s="164">
        <v>437.52</v>
      </c>
      <c r="AC201" s="163">
        <f t="shared" si="20"/>
        <v>-2.9910644996784974E-2</v>
      </c>
    </row>
    <row r="202" spans="3:29">
      <c r="C202" s="165">
        <v>44416</v>
      </c>
      <c r="D202" s="164">
        <v>387.54</v>
      </c>
      <c r="E202" s="163">
        <f t="shared" si="14"/>
        <v>1.9493331228790156E-2</v>
      </c>
      <c r="G202" s="161">
        <v>44416</v>
      </c>
      <c r="H202" s="162">
        <v>16529.099999999999</v>
      </c>
      <c r="I202" s="163">
        <f t="shared" si="15"/>
        <v>1.7914547178874418E-2</v>
      </c>
      <c r="K202" s="165">
        <v>44416</v>
      </c>
      <c r="L202" s="164">
        <v>407.65</v>
      </c>
      <c r="M202" s="163">
        <f t="shared" si="16"/>
        <v>-3.343212803793727E-2</v>
      </c>
      <c r="O202" s="165">
        <v>44416</v>
      </c>
      <c r="P202" s="160">
        <v>81.08</v>
      </c>
      <c r="Q202" s="163">
        <f t="shared" si="17"/>
        <v>-4.6117647058823596E-2</v>
      </c>
      <c r="S202" s="165">
        <v>44416</v>
      </c>
      <c r="T202" s="160">
        <v>587.15</v>
      </c>
      <c r="U202" s="163">
        <f t="shared" si="18"/>
        <v>-6.4600924008284322E-2</v>
      </c>
      <c r="W202" s="165">
        <v>44416</v>
      </c>
      <c r="X202" s="162">
        <v>18946.55</v>
      </c>
      <c r="Y202" s="163">
        <f t="shared" si="19"/>
        <v>5.9671190431579868E-2</v>
      </c>
      <c r="AA202" s="165">
        <v>44416</v>
      </c>
      <c r="AB202" s="164">
        <v>451.01</v>
      </c>
      <c r="AC202" s="163">
        <f t="shared" si="20"/>
        <v>8.8580695671625076E-3</v>
      </c>
    </row>
    <row r="203" spans="3:29">
      <c r="C203" s="165">
        <v>44204</v>
      </c>
      <c r="D203" s="164">
        <v>380.13</v>
      </c>
      <c r="E203" s="163">
        <f t="shared" si="14"/>
        <v>-2.035925057340926E-2</v>
      </c>
      <c r="G203" s="161">
        <v>44409</v>
      </c>
      <c r="H203" s="162">
        <v>16238.2</v>
      </c>
      <c r="I203" s="163">
        <f t="shared" si="15"/>
        <v>3.0143278109249216E-2</v>
      </c>
      <c r="K203" s="165">
        <v>44204</v>
      </c>
      <c r="L203" s="164">
        <v>421.75</v>
      </c>
      <c r="M203" s="163">
        <f t="shared" si="16"/>
        <v>-4.6892655367231639E-2</v>
      </c>
      <c r="O203" s="165">
        <v>44204</v>
      </c>
      <c r="P203" s="160">
        <v>85</v>
      </c>
      <c r="Q203" s="163">
        <f t="shared" si="17"/>
        <v>-9.0930286780135372E-3</v>
      </c>
      <c r="S203" s="165">
        <v>44204</v>
      </c>
      <c r="T203" s="160">
        <v>627.70000000000005</v>
      </c>
      <c r="U203" s="163">
        <f t="shared" si="18"/>
        <v>-1.2040607539151593E-2</v>
      </c>
      <c r="W203" s="165">
        <v>44204</v>
      </c>
      <c r="X203" s="162">
        <v>17879.650000000001</v>
      </c>
      <c r="Y203" s="163">
        <f t="shared" si="19"/>
        <v>-2.4342796338485351E-2</v>
      </c>
      <c r="AA203" s="165">
        <v>44204</v>
      </c>
      <c r="AB203" s="164">
        <v>447.05</v>
      </c>
      <c r="AC203" s="163">
        <f t="shared" si="20"/>
        <v>4.4021485287248918E-2</v>
      </c>
    </row>
    <row r="204" spans="3:29">
      <c r="C204" s="164" t="s">
        <v>337</v>
      </c>
      <c r="D204" s="164">
        <v>388.03</v>
      </c>
      <c r="E204" s="163">
        <f t="shared" si="14"/>
        <v>-1.4902259456714861E-2</v>
      </c>
      <c r="G204" s="161">
        <v>44402</v>
      </c>
      <c r="H204" s="162">
        <v>15763.05</v>
      </c>
      <c r="I204" s="163">
        <f t="shared" si="15"/>
        <v>-5.8652690928698847E-3</v>
      </c>
      <c r="K204" s="164" t="s">
        <v>337</v>
      </c>
      <c r="L204" s="164">
        <v>442.5</v>
      </c>
      <c r="M204" s="163">
        <f t="shared" si="16"/>
        <v>5.0195799216803172E-2</v>
      </c>
      <c r="O204" s="164" t="s">
        <v>337</v>
      </c>
      <c r="P204" s="160">
        <v>85.78</v>
      </c>
      <c r="Q204" s="163">
        <f t="shared" si="17"/>
        <v>-5.8293994950049388E-2</v>
      </c>
      <c r="S204" s="164" t="s">
        <v>337</v>
      </c>
      <c r="T204" s="160">
        <v>635.35</v>
      </c>
      <c r="U204" s="163">
        <f t="shared" si="18"/>
        <v>1.2026122969098552E-2</v>
      </c>
      <c r="W204" s="164" t="s">
        <v>337</v>
      </c>
      <c r="X204" s="162">
        <v>18325.75</v>
      </c>
      <c r="Y204" s="163">
        <f t="shared" si="19"/>
        <v>-1.0261534099347824E-2</v>
      </c>
      <c r="AA204" s="164" t="s">
        <v>337</v>
      </c>
      <c r="AB204" s="164">
        <v>428.2</v>
      </c>
      <c r="AC204" s="163">
        <f t="shared" si="20"/>
        <v>-3.2862789384528579E-2</v>
      </c>
    </row>
    <row r="205" spans="3:29">
      <c r="C205" s="164" t="s">
        <v>338</v>
      </c>
      <c r="D205" s="164">
        <v>393.9</v>
      </c>
      <c r="E205" s="163">
        <f t="shared" ref="E205:E220" si="21">D205/D206-1</f>
        <v>-7.9085230707234278E-3</v>
      </c>
      <c r="G205" s="161">
        <v>44395</v>
      </c>
      <c r="H205" s="162">
        <v>15856.05</v>
      </c>
      <c r="I205" s="163">
        <f t="shared" ref="I205:I219" si="22">H205/H206-1</f>
        <v>-4.2296243264630107E-3</v>
      </c>
      <c r="K205" s="164" t="s">
        <v>338</v>
      </c>
      <c r="L205" s="164">
        <v>421.35</v>
      </c>
      <c r="M205" s="163">
        <f t="shared" ref="M205:M219" si="23">L205/L206-1</f>
        <v>9.1580310880829074E-2</v>
      </c>
      <c r="O205" s="164" t="s">
        <v>338</v>
      </c>
      <c r="P205" s="160">
        <v>91.09</v>
      </c>
      <c r="Q205" s="163">
        <f t="shared" ref="Q205:Q219" si="24">P205/P206-1</f>
        <v>3.7944393801276233E-2</v>
      </c>
      <c r="S205" s="164" t="s">
        <v>338</v>
      </c>
      <c r="T205" s="160">
        <v>627.79999999999995</v>
      </c>
      <c r="U205" s="163">
        <f t="shared" ref="U205:U219" si="25">T205/T206-1</f>
        <v>-8.6063955783656221E-3</v>
      </c>
      <c r="W205" s="164" t="s">
        <v>338</v>
      </c>
      <c r="X205" s="162">
        <v>18515.75</v>
      </c>
      <c r="Y205" s="163">
        <f t="shared" ref="Y205:Y219" si="26">X205/X206-1</f>
        <v>-1.6534719990651703E-2</v>
      </c>
      <c r="AA205" s="164" t="s">
        <v>338</v>
      </c>
      <c r="AB205" s="164">
        <v>442.75</v>
      </c>
      <c r="AC205" s="163">
        <f t="shared" ref="AC205:AC219" si="27">AB205/AB206-1</f>
        <v>-2.1352313167259829E-2</v>
      </c>
    </row>
    <row r="206" spans="3:29">
      <c r="C206" s="165">
        <v>44507</v>
      </c>
      <c r="D206" s="164">
        <v>397.04</v>
      </c>
      <c r="E206" s="163">
        <f t="shared" si="21"/>
        <v>-1.0344225927864548E-2</v>
      </c>
      <c r="G206" s="161">
        <v>44388</v>
      </c>
      <c r="H206" s="162">
        <v>15923.4</v>
      </c>
      <c r="I206" s="163">
        <f t="shared" si="22"/>
        <v>1.4888653775064098E-2</v>
      </c>
      <c r="K206" s="165">
        <v>44507</v>
      </c>
      <c r="L206" s="164">
        <v>386</v>
      </c>
      <c r="M206" s="163">
        <f t="shared" si="23"/>
        <v>-2.0677407078523391E-2</v>
      </c>
      <c r="O206" s="165">
        <v>44507</v>
      </c>
      <c r="P206" s="160">
        <v>87.76</v>
      </c>
      <c r="Q206" s="163">
        <f t="shared" si="24"/>
        <v>5.9647428157449944E-2</v>
      </c>
      <c r="S206" s="165">
        <v>44507</v>
      </c>
      <c r="T206" s="160">
        <v>633.25</v>
      </c>
      <c r="U206" s="163">
        <f t="shared" si="25"/>
        <v>-1.370609765594577E-2</v>
      </c>
      <c r="W206" s="165">
        <v>44507</v>
      </c>
      <c r="X206" s="162">
        <v>18827.05</v>
      </c>
      <c r="Y206" s="163">
        <f t="shared" si="26"/>
        <v>-4.0537648108039281E-2</v>
      </c>
      <c r="AA206" s="165">
        <v>44507</v>
      </c>
      <c r="AB206" s="164">
        <v>452.41</v>
      </c>
      <c r="AC206" s="163">
        <f t="shared" si="27"/>
        <v>2.8952874818049423E-2</v>
      </c>
    </row>
    <row r="207" spans="3:29">
      <c r="C207" s="165">
        <v>44293</v>
      </c>
      <c r="D207" s="164">
        <v>401.19</v>
      </c>
      <c r="E207" s="163">
        <f t="shared" si="21"/>
        <v>2.0981641064068413E-3</v>
      </c>
      <c r="G207" s="161">
        <v>44381</v>
      </c>
      <c r="H207" s="162">
        <v>15689.8</v>
      </c>
      <c r="I207" s="163">
        <f t="shared" si="22"/>
        <v>-2.0607802979227818E-3</v>
      </c>
      <c r="K207" s="165">
        <v>44293</v>
      </c>
      <c r="L207" s="164">
        <v>394.15</v>
      </c>
      <c r="M207" s="163">
        <f t="shared" si="23"/>
        <v>2.8172688143993652E-2</v>
      </c>
      <c r="O207" s="165">
        <v>44293</v>
      </c>
      <c r="P207" s="160">
        <v>82.82</v>
      </c>
      <c r="Q207" s="163">
        <f t="shared" si="24"/>
        <v>3.2668329177057309E-2</v>
      </c>
      <c r="S207" s="165">
        <v>44293</v>
      </c>
      <c r="T207" s="160">
        <v>642.04999999999995</v>
      </c>
      <c r="U207" s="163">
        <f t="shared" si="25"/>
        <v>0.12927622900360558</v>
      </c>
      <c r="W207" s="165">
        <v>44293</v>
      </c>
      <c r="X207" s="162">
        <v>19622.5</v>
      </c>
      <c r="Y207" s="163">
        <f t="shared" si="26"/>
        <v>0.12203266746148156</v>
      </c>
      <c r="AA207" s="165">
        <v>44293</v>
      </c>
      <c r="AB207" s="164">
        <v>439.68</v>
      </c>
      <c r="AC207" s="163">
        <f t="shared" si="27"/>
        <v>2.7890122735242606E-2</v>
      </c>
    </row>
    <row r="208" spans="3:29">
      <c r="C208" s="164" t="s">
        <v>339</v>
      </c>
      <c r="D208" s="164">
        <v>400.35</v>
      </c>
      <c r="E208" s="163">
        <f t="shared" si="21"/>
        <v>-1.1847463902258326E-2</v>
      </c>
      <c r="G208" s="161">
        <v>44374</v>
      </c>
      <c r="H208" s="162">
        <v>15722.2</v>
      </c>
      <c r="I208" s="163">
        <f t="shared" si="22"/>
        <v>-8.7104004640502497E-3</v>
      </c>
      <c r="K208" s="164" t="s">
        <v>339</v>
      </c>
      <c r="L208" s="164">
        <v>383.35</v>
      </c>
      <c r="M208" s="163">
        <f t="shared" si="23"/>
        <v>0.11780142877970556</v>
      </c>
      <c r="O208" s="164" t="s">
        <v>339</v>
      </c>
      <c r="P208" s="160">
        <v>80.2</v>
      </c>
      <c r="Q208" s="163">
        <f t="shared" si="24"/>
        <v>-4.9850448654031876E-4</v>
      </c>
      <c r="S208" s="164" t="s">
        <v>339</v>
      </c>
      <c r="T208" s="160">
        <v>568.54999999999995</v>
      </c>
      <c r="U208" s="163">
        <f t="shared" si="25"/>
        <v>2.8212315760918649E-2</v>
      </c>
      <c r="W208" s="164" t="s">
        <v>339</v>
      </c>
      <c r="X208" s="162">
        <v>17488.349999999999</v>
      </c>
      <c r="Y208" s="163">
        <f t="shared" si="26"/>
        <v>0.11694901722844042</v>
      </c>
      <c r="AA208" s="164" t="s">
        <v>339</v>
      </c>
      <c r="AB208" s="164">
        <v>427.75</v>
      </c>
      <c r="AC208" s="163">
        <f t="shared" si="27"/>
        <v>3.2240160235526893E-2</v>
      </c>
    </row>
    <row r="209" spans="3:29">
      <c r="C209" s="164" t="s">
        <v>340</v>
      </c>
      <c r="D209" s="164">
        <v>405.15</v>
      </c>
      <c r="E209" s="163">
        <f t="shared" si="21"/>
        <v>-3.4621616469691308E-2</v>
      </c>
      <c r="G209" s="161">
        <v>44367</v>
      </c>
      <c r="H209" s="162">
        <v>15860.35</v>
      </c>
      <c r="I209" s="163">
        <f t="shared" si="22"/>
        <v>1.1285854106424908E-2</v>
      </c>
      <c r="K209" s="164" t="s">
        <v>340</v>
      </c>
      <c r="L209" s="164">
        <v>342.95</v>
      </c>
      <c r="M209" s="163">
        <f t="shared" si="23"/>
        <v>3.8050636616420164E-3</v>
      </c>
      <c r="O209" s="164" t="s">
        <v>340</v>
      </c>
      <c r="P209" s="160">
        <v>80.239999999999995</v>
      </c>
      <c r="Q209" s="163">
        <f t="shared" si="24"/>
        <v>1.9980019980019303E-3</v>
      </c>
      <c r="S209" s="164" t="s">
        <v>340</v>
      </c>
      <c r="T209" s="160">
        <v>552.95000000000005</v>
      </c>
      <c r="U209" s="163">
        <f t="shared" si="25"/>
        <v>-5.1543739279588219E-2</v>
      </c>
      <c r="W209" s="164" t="s">
        <v>340</v>
      </c>
      <c r="X209" s="162">
        <v>15657.25</v>
      </c>
      <c r="Y209" s="163">
        <f t="shared" si="26"/>
        <v>5.9278603346852865E-2</v>
      </c>
      <c r="AA209" s="164" t="s">
        <v>340</v>
      </c>
      <c r="AB209" s="164">
        <v>414.39</v>
      </c>
      <c r="AC209" s="163">
        <f t="shared" si="27"/>
        <v>-6.0206284480690542E-3</v>
      </c>
    </row>
    <row r="210" spans="3:29">
      <c r="C210" s="164" t="s">
        <v>341</v>
      </c>
      <c r="D210" s="164">
        <v>419.68</v>
      </c>
      <c r="E210" s="163">
        <f t="shared" si="21"/>
        <v>3.8837594989975077E-2</v>
      </c>
      <c r="G210" s="161">
        <v>44360</v>
      </c>
      <c r="H210" s="162">
        <v>15683.35</v>
      </c>
      <c r="I210" s="163">
        <f t="shared" si="22"/>
        <v>-7.3420741992550331E-3</v>
      </c>
      <c r="K210" s="164" t="s">
        <v>341</v>
      </c>
      <c r="L210" s="164">
        <v>341.65</v>
      </c>
      <c r="M210" s="163">
        <f t="shared" si="23"/>
        <v>-4.0847838293093797E-2</v>
      </c>
      <c r="O210" s="164" t="s">
        <v>341</v>
      </c>
      <c r="P210" s="160">
        <v>80.08</v>
      </c>
      <c r="Q210" s="163">
        <f t="shared" si="24"/>
        <v>-4.4505428946426506E-2</v>
      </c>
      <c r="S210" s="164" t="s">
        <v>341</v>
      </c>
      <c r="T210" s="160">
        <v>583</v>
      </c>
      <c r="U210" s="163">
        <f t="shared" si="25"/>
        <v>2.7674951524766511E-2</v>
      </c>
      <c r="W210" s="164" t="s">
        <v>341</v>
      </c>
      <c r="X210" s="162">
        <v>14781.05</v>
      </c>
      <c r="Y210" s="163">
        <f t="shared" si="26"/>
        <v>-4.2848585906007708E-2</v>
      </c>
      <c r="AA210" s="164" t="s">
        <v>341</v>
      </c>
      <c r="AB210" s="164">
        <v>416.9</v>
      </c>
      <c r="AC210" s="163">
        <f t="shared" si="27"/>
        <v>1.8344366007962964E-2</v>
      </c>
    </row>
    <row r="211" spans="3:29">
      <c r="C211" s="165">
        <v>44353</v>
      </c>
      <c r="D211" s="164">
        <v>403.99</v>
      </c>
      <c r="E211" s="163">
        <f t="shared" si="21"/>
        <v>-3.7867060420586296E-2</v>
      </c>
      <c r="G211" s="161">
        <v>44353</v>
      </c>
      <c r="H211" s="162">
        <v>15799.35</v>
      </c>
      <c r="I211" s="163">
        <f t="shared" si="22"/>
        <v>8.238541184728998E-3</v>
      </c>
      <c r="K211" s="165">
        <v>44353</v>
      </c>
      <c r="L211" s="164">
        <v>356.2</v>
      </c>
      <c r="M211" s="163">
        <f t="shared" si="23"/>
        <v>-2.1697335896731729E-2</v>
      </c>
      <c r="O211" s="165">
        <v>44353</v>
      </c>
      <c r="P211" s="160">
        <v>83.81</v>
      </c>
      <c r="Q211" s="163">
        <f t="shared" si="24"/>
        <v>-8.4003786086133125E-3</v>
      </c>
      <c r="S211" s="165">
        <v>44353</v>
      </c>
      <c r="T211" s="160">
        <v>567.29999999999995</v>
      </c>
      <c r="U211" s="163">
        <f t="shared" si="25"/>
        <v>-4.9031933618305268E-2</v>
      </c>
      <c r="W211" s="165">
        <v>44353</v>
      </c>
      <c r="X211" s="162">
        <v>15442.75</v>
      </c>
      <c r="Y211" s="163">
        <f t="shared" si="26"/>
        <v>-6.5617008958008816E-3</v>
      </c>
      <c r="AA211" s="165">
        <v>44353</v>
      </c>
      <c r="AB211" s="164">
        <v>409.39</v>
      </c>
      <c r="AC211" s="163">
        <f t="shared" si="27"/>
        <v>-2.3820878439601345E-2</v>
      </c>
    </row>
    <row r="212" spans="3:29">
      <c r="C212" s="164" t="s">
        <v>342</v>
      </c>
      <c r="D212" s="164">
        <v>419.89</v>
      </c>
      <c r="E212" s="163">
        <f t="shared" si="21"/>
        <v>-5.7697486535009057E-2</v>
      </c>
      <c r="G212" s="161">
        <v>44346</v>
      </c>
      <c r="H212" s="162">
        <v>15670.25</v>
      </c>
      <c r="I212" s="163">
        <f t="shared" si="22"/>
        <v>1.5198582502194524E-2</v>
      </c>
      <c r="K212" s="164" t="s">
        <v>342</v>
      </c>
      <c r="L212" s="164">
        <v>364.1</v>
      </c>
      <c r="M212" s="163">
        <f t="shared" si="23"/>
        <v>-1.6451878256099617E-3</v>
      </c>
      <c r="O212" s="164" t="s">
        <v>342</v>
      </c>
      <c r="P212" s="160">
        <v>84.52</v>
      </c>
      <c r="Q212" s="163">
        <f t="shared" si="24"/>
        <v>1.3550785465883175E-2</v>
      </c>
      <c r="S212" s="164" t="s">
        <v>342</v>
      </c>
      <c r="T212" s="160">
        <v>596.54999999999995</v>
      </c>
      <c r="U212" s="163">
        <f t="shared" si="25"/>
        <v>3.406136245449809E-2</v>
      </c>
      <c r="W212" s="164" t="s">
        <v>342</v>
      </c>
      <c r="X212" s="162">
        <v>15544.75</v>
      </c>
      <c r="Y212" s="163">
        <f t="shared" si="26"/>
        <v>1.2463037503093854E-2</v>
      </c>
      <c r="AA212" s="164" t="s">
        <v>342</v>
      </c>
      <c r="AB212" s="164">
        <v>419.38</v>
      </c>
      <c r="AC212" s="163">
        <f t="shared" si="27"/>
        <v>-2.4499892961633574E-3</v>
      </c>
    </row>
    <row r="213" spans="3:29">
      <c r="C213" s="164" t="s">
        <v>343</v>
      </c>
      <c r="D213" s="164">
        <v>445.6</v>
      </c>
      <c r="E213" s="163">
        <f t="shared" si="21"/>
        <v>1.3694890577369501E-2</v>
      </c>
      <c r="G213" s="161">
        <v>44339</v>
      </c>
      <c r="H213" s="162">
        <v>15435.65</v>
      </c>
      <c r="I213" s="163">
        <f t="shared" si="22"/>
        <v>1.7156168247085768E-2</v>
      </c>
      <c r="K213" s="164" t="s">
        <v>343</v>
      </c>
      <c r="L213" s="164">
        <v>364.7</v>
      </c>
      <c r="M213" s="163">
        <f t="shared" si="23"/>
        <v>0.16816143497757841</v>
      </c>
      <c r="O213" s="164" t="s">
        <v>343</v>
      </c>
      <c r="P213" s="160">
        <v>83.39</v>
      </c>
      <c r="Q213" s="163">
        <f t="shared" si="24"/>
        <v>4.6036126442548841E-2</v>
      </c>
      <c r="S213" s="164" t="s">
        <v>343</v>
      </c>
      <c r="T213" s="160">
        <v>576.9</v>
      </c>
      <c r="U213" s="163">
        <f t="shared" si="25"/>
        <v>9.0857521036210587E-2</v>
      </c>
      <c r="W213" s="164" t="s">
        <v>343</v>
      </c>
      <c r="X213" s="162">
        <v>15353.4</v>
      </c>
      <c r="Y213" s="163">
        <f t="shared" si="26"/>
        <v>-4.799885917633917E-3</v>
      </c>
      <c r="AA213" s="164" t="s">
        <v>343</v>
      </c>
      <c r="AB213" s="164">
        <v>420.41</v>
      </c>
      <c r="AC213" s="163">
        <f t="shared" si="27"/>
        <v>-3.83858967371975E-3</v>
      </c>
    </row>
    <row r="214" spans="3:29">
      <c r="C214" s="164" t="s">
        <v>344</v>
      </c>
      <c r="D214" s="164">
        <v>439.58</v>
      </c>
      <c r="E214" s="163">
        <f t="shared" si="21"/>
        <v>5.7903350019252953E-2</v>
      </c>
      <c r="G214" s="161">
        <v>44332</v>
      </c>
      <c r="H214" s="162">
        <v>15175.3</v>
      </c>
      <c r="I214" s="163">
        <f t="shared" si="22"/>
        <v>3.3894725367561884E-2</v>
      </c>
      <c r="K214" s="164" t="s">
        <v>344</v>
      </c>
      <c r="L214" s="164">
        <v>312.2</v>
      </c>
      <c r="M214" s="163">
        <f t="shared" si="23"/>
        <v>1.8264840182648179E-2</v>
      </c>
      <c r="O214" s="164" t="s">
        <v>344</v>
      </c>
      <c r="P214" s="160">
        <v>79.72</v>
      </c>
      <c r="Q214" s="163">
        <f t="shared" si="24"/>
        <v>2.1004098360655643E-2</v>
      </c>
      <c r="S214" s="164" t="s">
        <v>344</v>
      </c>
      <c r="T214" s="160">
        <v>528.85</v>
      </c>
      <c r="U214" s="163">
        <f t="shared" si="25"/>
        <v>-3.9551746868820015E-3</v>
      </c>
      <c r="W214" s="164" t="s">
        <v>344</v>
      </c>
      <c r="X214" s="162">
        <v>15427.45</v>
      </c>
      <c r="Y214" s="163">
        <f t="shared" si="26"/>
        <v>-4.1136034507405439E-2</v>
      </c>
      <c r="AA214" s="164" t="s">
        <v>344</v>
      </c>
      <c r="AB214" s="164">
        <v>422.03</v>
      </c>
      <c r="AC214" s="163">
        <f t="shared" si="27"/>
        <v>-1.6017719748193104E-2</v>
      </c>
    </row>
    <row r="215" spans="3:29">
      <c r="C215" s="165">
        <v>44444</v>
      </c>
      <c r="D215" s="164">
        <v>415.52</v>
      </c>
      <c r="E215" s="163">
        <f t="shared" si="21"/>
        <v>-1.6078236366650178E-2</v>
      </c>
      <c r="G215" s="161">
        <v>44325</v>
      </c>
      <c r="H215" s="162">
        <v>14677.8</v>
      </c>
      <c r="I215" s="163">
        <f t="shared" si="22"/>
        <v>-9.8056081197316347E-3</v>
      </c>
      <c r="K215" s="165">
        <v>44444</v>
      </c>
      <c r="L215" s="164">
        <v>306.60000000000002</v>
      </c>
      <c r="M215" s="163">
        <f t="shared" si="23"/>
        <v>-2.8824833702882358E-2</v>
      </c>
      <c r="O215" s="165">
        <v>44444</v>
      </c>
      <c r="P215" s="160">
        <v>78.08</v>
      </c>
      <c r="Q215" s="163">
        <f t="shared" si="24"/>
        <v>-3.9545860441383418E-3</v>
      </c>
      <c r="S215" s="165">
        <v>44444</v>
      </c>
      <c r="T215" s="160">
        <v>530.95000000000005</v>
      </c>
      <c r="U215" s="163">
        <f t="shared" si="25"/>
        <v>9.248971193415656E-2</v>
      </c>
      <c r="W215" s="165">
        <v>44444</v>
      </c>
      <c r="X215" s="162">
        <v>16089.3</v>
      </c>
      <c r="Y215" s="163">
        <f t="shared" si="26"/>
        <v>5.9133697584095701E-2</v>
      </c>
      <c r="AA215" s="165">
        <v>44444</v>
      </c>
      <c r="AB215" s="164">
        <v>428.9</v>
      </c>
      <c r="AC215" s="163">
        <f t="shared" si="27"/>
        <v>1.2416202436030588E-2</v>
      </c>
    </row>
    <row r="216" spans="3:29">
      <c r="C216" s="165">
        <v>44232</v>
      </c>
      <c r="D216" s="164">
        <v>422.31</v>
      </c>
      <c r="E216" s="163">
        <f t="shared" si="21"/>
        <v>2.6294685168533949E-2</v>
      </c>
      <c r="G216" s="161">
        <v>44318</v>
      </c>
      <c r="H216" s="162">
        <v>14823.15</v>
      </c>
      <c r="I216" s="163">
        <f t="shared" si="22"/>
        <v>1.3126149093369621E-2</v>
      </c>
      <c r="K216" s="165">
        <v>44232</v>
      </c>
      <c r="L216" s="164">
        <v>315.7</v>
      </c>
      <c r="M216" s="163">
        <f t="shared" si="23"/>
        <v>0.18328335832083953</v>
      </c>
      <c r="O216" s="165">
        <v>44232</v>
      </c>
      <c r="P216" s="160">
        <v>78.39</v>
      </c>
      <c r="Q216" s="163">
        <f t="shared" si="24"/>
        <v>0.10237659963436929</v>
      </c>
      <c r="S216" s="165">
        <v>44232</v>
      </c>
      <c r="T216" s="160">
        <v>486</v>
      </c>
      <c r="U216" s="163">
        <f t="shared" si="25"/>
        <v>-1.6433853738702098E-3</v>
      </c>
      <c r="W216" s="165">
        <v>44232</v>
      </c>
      <c r="X216" s="162">
        <v>15191</v>
      </c>
      <c r="Y216" s="163">
        <f t="shared" si="26"/>
        <v>-9.3734712627220773E-2</v>
      </c>
      <c r="AA216" s="165">
        <v>44232</v>
      </c>
      <c r="AB216" s="164">
        <v>423.64</v>
      </c>
      <c r="AC216" s="163">
        <f t="shared" si="27"/>
        <v>9.676343009676458E-3</v>
      </c>
    </row>
    <row r="217" spans="3:29">
      <c r="C217" s="164" t="s">
        <v>345</v>
      </c>
      <c r="D217" s="164">
        <v>411.49</v>
      </c>
      <c r="E217" s="163">
        <f t="shared" si="21"/>
        <v>1.8438768438768349E-2</v>
      </c>
      <c r="G217" s="161">
        <v>44311</v>
      </c>
      <c r="H217" s="162">
        <v>14631.1</v>
      </c>
      <c r="I217" s="163">
        <f t="shared" si="22"/>
        <v>2.020381623766232E-2</v>
      </c>
      <c r="K217" s="164" t="s">
        <v>345</v>
      </c>
      <c r="L217" s="164">
        <v>266.8</v>
      </c>
      <c r="M217" s="163">
        <f t="shared" si="23"/>
        <v>-5.9612518628910927E-3</v>
      </c>
      <c r="O217" s="164" t="s">
        <v>345</v>
      </c>
      <c r="P217" s="160">
        <v>71.11</v>
      </c>
      <c r="Q217" s="163">
        <f t="shared" si="24"/>
        <v>-3.0538513974096682E-2</v>
      </c>
      <c r="S217" s="164" t="s">
        <v>345</v>
      </c>
      <c r="T217" s="160">
        <v>486.8</v>
      </c>
      <c r="U217" s="163">
        <f t="shared" si="25"/>
        <v>-5.0979627644019976E-2</v>
      </c>
      <c r="W217" s="164" t="s">
        <v>345</v>
      </c>
      <c r="X217" s="162">
        <v>16762.2</v>
      </c>
      <c r="Y217" s="163">
        <f t="shared" si="26"/>
        <v>7.6885024204247143E-2</v>
      </c>
      <c r="AA217" s="164" t="s">
        <v>345</v>
      </c>
      <c r="AB217" s="164">
        <v>419.58</v>
      </c>
      <c r="AC217" s="163">
        <f t="shared" si="27"/>
        <v>-1.8801739862494782E-2</v>
      </c>
    </row>
    <row r="218" spans="3:29">
      <c r="C218" s="164" t="s">
        <v>346</v>
      </c>
      <c r="D218" s="164">
        <v>404.04</v>
      </c>
      <c r="E218" s="163">
        <f t="shared" si="21"/>
        <v>2.0715440582053546E-2</v>
      </c>
      <c r="G218" s="161">
        <v>44304</v>
      </c>
      <c r="H218" s="162">
        <v>14341.35</v>
      </c>
      <c r="I218" s="163">
        <f t="shared" si="22"/>
        <v>-1.8915230351932766E-2</v>
      </c>
      <c r="K218" s="164" t="s">
        <v>346</v>
      </c>
      <c r="L218" s="164">
        <v>268.39999999999998</v>
      </c>
      <c r="M218" s="163">
        <f t="shared" si="23"/>
        <v>4.6801872074883066E-2</v>
      </c>
      <c r="O218" s="164" t="s">
        <v>346</v>
      </c>
      <c r="P218" s="160">
        <v>73.349999999999994</v>
      </c>
      <c r="Q218" s="163">
        <f t="shared" si="24"/>
        <v>1.8325697625989124E-2</v>
      </c>
      <c r="S218" s="164" t="s">
        <v>346</v>
      </c>
      <c r="T218" s="160">
        <v>512.95000000000005</v>
      </c>
      <c r="U218" s="163">
        <f t="shared" si="25"/>
        <v>7.0318205529473321E-2</v>
      </c>
      <c r="W218" s="164" t="s">
        <v>346</v>
      </c>
      <c r="X218" s="162">
        <v>15565.45</v>
      </c>
      <c r="Y218" s="163">
        <f t="shared" si="26"/>
        <v>8.9483446489815988E-2</v>
      </c>
      <c r="AA218" s="164" t="s">
        <v>346</v>
      </c>
      <c r="AB218" s="164">
        <v>427.62</v>
      </c>
      <c r="AC218" s="163">
        <f t="shared" si="27"/>
        <v>1.5676214906655384E-2</v>
      </c>
    </row>
    <row r="219" spans="3:29">
      <c r="C219" s="165">
        <v>44504</v>
      </c>
      <c r="D219" s="164">
        <v>395.84</v>
      </c>
      <c r="E219" s="163">
        <f t="shared" si="21"/>
        <v>-3.3168873039910229E-2</v>
      </c>
      <c r="G219" s="161">
        <v>44297</v>
      </c>
      <c r="H219" s="162">
        <v>14617.85</v>
      </c>
      <c r="I219" s="163">
        <f t="shared" si="22"/>
        <v>-1.4627717840085985E-2</v>
      </c>
      <c r="K219" s="165">
        <v>44504</v>
      </c>
      <c r="L219" s="164">
        <v>256.39999999999998</v>
      </c>
      <c r="M219" s="163">
        <f t="shared" si="23"/>
        <v>5.1035048165607666E-2</v>
      </c>
      <c r="O219" s="165">
        <v>44504</v>
      </c>
      <c r="P219" s="160">
        <v>72.03</v>
      </c>
      <c r="Q219" s="163">
        <f t="shared" si="24"/>
        <v>9.7276264591439343E-4</v>
      </c>
      <c r="S219" s="165">
        <v>44504</v>
      </c>
      <c r="T219" s="160">
        <v>479.25</v>
      </c>
      <c r="U219" s="163">
        <f t="shared" si="25"/>
        <v>-1.2161187261671591E-2</v>
      </c>
      <c r="W219" s="165">
        <v>44504</v>
      </c>
      <c r="X219" s="162">
        <v>14287</v>
      </c>
      <c r="Y219" s="163">
        <f t="shared" si="26"/>
        <v>-4.3336770633847221E-2</v>
      </c>
      <c r="AA219" s="165">
        <v>44504</v>
      </c>
      <c r="AB219" s="164">
        <v>421.02</v>
      </c>
      <c r="AC219" s="163">
        <f t="shared" si="27"/>
        <v>3.5994374389167749E-3</v>
      </c>
    </row>
    <row r="220" spans="3:29">
      <c r="C220" s="165">
        <v>44290</v>
      </c>
      <c r="D220" s="164">
        <v>409.42</v>
      </c>
      <c r="E220" s="163" t="e">
        <f t="shared" si="21"/>
        <v>#DIV/0!</v>
      </c>
      <c r="G220" s="161">
        <v>44290</v>
      </c>
      <c r="H220" s="162">
        <v>14834.85</v>
      </c>
      <c r="I220" s="163" t="e">
        <f>H220/#REF!-1</f>
        <v>#REF!</v>
      </c>
      <c r="K220" s="165">
        <v>44290</v>
      </c>
      <c r="L220" s="164">
        <v>243.95</v>
      </c>
      <c r="M220" s="163" t="e">
        <f>L220/#REF!-1</f>
        <v>#REF!</v>
      </c>
      <c r="O220" s="165">
        <v>44290</v>
      </c>
      <c r="P220" s="160">
        <v>71.959999999999994</v>
      </c>
      <c r="Q220" s="163" t="e">
        <f>P220/#REF!-1</f>
        <v>#REF!</v>
      </c>
      <c r="S220" s="165">
        <v>44290</v>
      </c>
      <c r="T220" s="160">
        <v>485.15</v>
      </c>
      <c r="U220" s="163" t="e">
        <f>T220/#REF!-1</f>
        <v>#REF!</v>
      </c>
      <c r="W220" s="165">
        <v>44290</v>
      </c>
      <c r="X220" s="162">
        <v>14934.2</v>
      </c>
      <c r="Y220" s="163" t="e">
        <f>X220/#REF!-1</f>
        <v>#REF!</v>
      </c>
      <c r="AA220" s="165">
        <v>44290</v>
      </c>
      <c r="AB220" s="164">
        <v>419.51</v>
      </c>
      <c r="AC220" s="163" t="e">
        <f>AB220/#REF!-1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DF0E-F9A5-4093-A545-1F4DAFFE4AB5}">
  <dimension ref="B2:H16"/>
  <sheetViews>
    <sheetView showGridLines="0" workbookViewId="0">
      <selection activeCell="F15" sqref="F15"/>
    </sheetView>
  </sheetViews>
  <sheetFormatPr defaultRowHeight="14.4"/>
  <cols>
    <col min="1" max="1" width="1.88671875" customWidth="1"/>
    <col min="2" max="2" width="28.21875" bestFit="1" customWidth="1"/>
    <col min="3" max="3" width="16.21875" bestFit="1" customWidth="1"/>
    <col min="4" max="4" width="12.5546875" bestFit="1" customWidth="1"/>
    <col min="5" max="5" width="11.5546875" bestFit="1" customWidth="1"/>
  </cols>
  <sheetData>
    <row r="2" spans="2:8">
      <c r="B2" s="176" t="s">
        <v>175</v>
      </c>
      <c r="C2" s="183" t="s">
        <v>213</v>
      </c>
      <c r="D2" s="192" t="s">
        <v>176</v>
      </c>
      <c r="E2" s="192" t="s">
        <v>177</v>
      </c>
      <c r="F2" s="202" t="s">
        <v>351</v>
      </c>
      <c r="G2" s="203" t="s">
        <v>352</v>
      </c>
    </row>
    <row r="3" spans="2:8">
      <c r="B3" s="173" t="s">
        <v>183</v>
      </c>
      <c r="C3" s="180">
        <v>0.9023581481929609</v>
      </c>
      <c r="D3" s="194">
        <v>0.92035880601091646</v>
      </c>
      <c r="E3" s="194">
        <v>7.9641193989083481E-2</v>
      </c>
      <c r="F3" s="206">
        <f>1+(1-$C$10)*(D3/E3)</f>
        <v>9.6672370155927521</v>
      </c>
      <c r="G3" s="207">
        <f>C3/F3</f>
        <v>9.3341887318734815E-2</v>
      </c>
    </row>
    <row r="4" spans="2:8">
      <c r="B4" s="173" t="s">
        <v>184</v>
      </c>
      <c r="C4" s="180">
        <v>0.91098660567637191</v>
      </c>
      <c r="D4" s="194">
        <v>0.59548233617199586</v>
      </c>
      <c r="E4" s="194">
        <v>0.40451766382800408</v>
      </c>
      <c r="F4" s="206">
        <f t="shared" ref="F4:F7" si="0">1+(1-$C$10)*(D4/E4)</f>
        <v>2.1040599510603588</v>
      </c>
      <c r="G4" s="207">
        <f t="shared" ref="G4:G7" si="1">C4/F4</f>
        <v>0.43296608788037266</v>
      </c>
    </row>
    <row r="5" spans="2:8">
      <c r="B5" s="173" t="s">
        <v>185</v>
      </c>
      <c r="C5" s="180">
        <v>0.7900514099700402</v>
      </c>
      <c r="D5" s="194">
        <v>2.1685120984357869E-3</v>
      </c>
      <c r="E5" s="194">
        <v>0.99783148790156417</v>
      </c>
      <c r="F5" s="206">
        <f t="shared" si="0"/>
        <v>1.0016299185719697</v>
      </c>
      <c r="G5" s="207">
        <f t="shared" si="1"/>
        <v>0.788765785966559</v>
      </c>
    </row>
    <row r="6" spans="2:8">
      <c r="B6" s="173" t="s">
        <v>186</v>
      </c>
      <c r="C6" s="180">
        <v>0.62740783867406169</v>
      </c>
      <c r="D6" s="194">
        <v>0.26043043844056607</v>
      </c>
      <c r="E6" s="194">
        <v>0.73956956155943399</v>
      </c>
      <c r="F6" s="206">
        <f t="shared" si="0"/>
        <v>1.2641033906514119</v>
      </c>
      <c r="G6" s="207">
        <f t="shared" si="1"/>
        <v>0.49632636326586294</v>
      </c>
    </row>
    <row r="7" spans="2:8">
      <c r="B7" s="174" t="s">
        <v>187</v>
      </c>
      <c r="C7" s="181">
        <v>0.53646050386313215</v>
      </c>
      <c r="D7" s="195">
        <v>0.36793036948814317</v>
      </c>
      <c r="E7" s="195">
        <v>0.63206963051185683</v>
      </c>
      <c r="F7" s="209">
        <f t="shared" si="0"/>
        <v>1.4365781296795448</v>
      </c>
      <c r="G7" s="208">
        <f t="shared" si="1"/>
        <v>0.37342939641076084</v>
      </c>
      <c r="H7" s="205">
        <f>AVERAGE(G3:G7)</f>
        <v>0.43696590416845804</v>
      </c>
    </row>
    <row r="8" spans="2:8">
      <c r="B8" s="196"/>
      <c r="C8" s="197"/>
    </row>
    <row r="10" spans="2:8">
      <c r="B10" s="198" t="s">
        <v>197</v>
      </c>
      <c r="C10" s="199">
        <v>0.25</v>
      </c>
    </row>
    <row r="12" spans="2:8">
      <c r="B12" s="136" t="s">
        <v>354</v>
      </c>
      <c r="C12" s="210" t="s">
        <v>355</v>
      </c>
      <c r="D12" s="211">
        <f>364.52 +2.35+141.58 +1.07</f>
        <v>509.52000000000004</v>
      </c>
      <c r="E12" s="177">
        <f>D12/SUM(D12:D13)</f>
        <v>9.3087748686171445E-4</v>
      </c>
    </row>
    <row r="13" spans="2:8">
      <c r="B13" s="138" t="s">
        <v>353</v>
      </c>
      <c r="C13" s="212" t="s">
        <v>355</v>
      </c>
      <c r="D13" s="193">
        <f>2327*235</f>
        <v>546845</v>
      </c>
      <c r="E13" s="141">
        <f>D13/SUM(D12:D13)</f>
        <v>0.99906912251313829</v>
      </c>
    </row>
    <row r="14" spans="2:8">
      <c r="B14" s="138" t="s">
        <v>351</v>
      </c>
      <c r="C14" s="201"/>
      <c r="E14" s="213">
        <f>1+(1-C10)*(D12/D13)</f>
        <v>1.0006988086203585</v>
      </c>
    </row>
    <row r="15" spans="2:8">
      <c r="B15" s="214" t="s">
        <v>215</v>
      </c>
      <c r="C15" s="159"/>
      <c r="D15" s="159"/>
      <c r="E15" s="204">
        <f>E14*H7</f>
        <v>0.4372712597090937</v>
      </c>
    </row>
    <row r="16" spans="2:8">
      <c r="B16" s="200" t="s">
        <v>213</v>
      </c>
      <c r="C16" s="215"/>
      <c r="D16" s="215"/>
      <c r="E16" s="216">
        <f>'REGRESSION BETA'!C8</f>
        <v>1.2985002572741451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9A3D-6C3B-4498-AA5F-A0714D5E45BD}">
  <dimension ref="B2:AA54"/>
  <sheetViews>
    <sheetView showGridLines="0" topLeftCell="A23" zoomScale="66" zoomScaleNormal="55" workbookViewId="0">
      <selection activeCell="B5" sqref="B5"/>
    </sheetView>
  </sheetViews>
  <sheetFormatPr defaultRowHeight="14.4"/>
  <cols>
    <col min="1" max="1" width="1.88671875" customWidth="1"/>
    <col min="2" max="2" width="27" bestFit="1" customWidth="1"/>
    <col min="3" max="3" width="12.6640625" bestFit="1" customWidth="1"/>
    <col min="4" max="4" width="12.44140625" customWidth="1"/>
    <col min="5" max="5" width="20.33203125" bestFit="1" customWidth="1"/>
    <col min="6" max="6" width="18.88671875" bestFit="1" customWidth="1"/>
    <col min="7" max="7" width="14.6640625" bestFit="1" customWidth="1"/>
    <col min="8" max="8" width="10.109375" bestFit="1" customWidth="1"/>
    <col min="9" max="9" width="28.6640625" bestFit="1" customWidth="1"/>
    <col min="10" max="10" width="20.21875" bestFit="1" customWidth="1"/>
    <col min="17" max="17" width="8.88671875" customWidth="1"/>
  </cols>
  <sheetData>
    <row r="2" spans="2:27">
      <c r="B2" s="224" t="s">
        <v>361</v>
      </c>
      <c r="C2" s="225">
        <f>DATE(2025,3,31)</f>
        <v>45747</v>
      </c>
      <c r="E2" s="217" t="s">
        <v>213</v>
      </c>
    </row>
    <row r="3" spans="2:27">
      <c r="B3" s="224" t="s">
        <v>362</v>
      </c>
      <c r="C3" s="225">
        <f>DATE(2026,3,31)</f>
        <v>46112</v>
      </c>
      <c r="E3" s="218" t="s">
        <v>215</v>
      </c>
    </row>
    <row r="4" spans="2:27"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spans="2:27">
      <c r="B5" s="166" t="s">
        <v>215</v>
      </c>
      <c r="C5" s="19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2:27">
      <c r="B6" s="136" t="s">
        <v>214</v>
      </c>
      <c r="C6" s="219"/>
      <c r="D6" s="177" cm="1">
        <f t="array" ref="D6">_xlfn.IFS(B5=E2,WACC!C26,'DCF VALUATION'!B5='DCF VALUATION'!E3,WACC!C33)</f>
        <v>0.10010880518740384</v>
      </c>
      <c r="K6" s="25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2:27">
      <c r="B7" s="138" t="s">
        <v>357</v>
      </c>
      <c r="D7" s="141">
        <f>WACC!F8</f>
        <v>0.63206963051185683</v>
      </c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spans="2:27">
      <c r="B8" s="138" t="s">
        <v>358</v>
      </c>
      <c r="D8" s="141">
        <f>WACC!I23</f>
        <v>5.8537500000000006E-2</v>
      </c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2:27">
      <c r="B9" s="138" t="s">
        <v>359</v>
      </c>
      <c r="D9" s="141">
        <f>WACC!E8</f>
        <v>0.36793036948814317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2:27">
      <c r="B10" s="220" t="s">
        <v>360</v>
      </c>
      <c r="C10" s="221"/>
      <c r="D10" s="222">
        <f>D6*D7+D8*D9</f>
        <v>8.4813459509697986E-2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2:27"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2:27"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2:27"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27" ht="16.2" thickBot="1">
      <c r="C14" s="223">
        <f>_xlfn.DAYS(C3,C2)/365</f>
        <v>1</v>
      </c>
      <c r="D14" s="223">
        <f>1+C14</f>
        <v>2</v>
      </c>
      <c r="E14" s="223">
        <f t="shared" ref="E14:G14" si="0">1+D14</f>
        <v>3</v>
      </c>
      <c r="F14" s="223">
        <f t="shared" si="0"/>
        <v>4</v>
      </c>
      <c r="G14" s="223">
        <f t="shared" si="0"/>
        <v>5</v>
      </c>
      <c r="I14" s="256" t="s">
        <v>390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2:27" ht="15.6">
      <c r="B15" s="5" t="s">
        <v>190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I15" s="255" t="s">
        <v>391</v>
      </c>
      <c r="J15" s="255">
        <v>2030</v>
      </c>
      <c r="K15" s="61"/>
      <c r="L15" s="265" t="s">
        <v>461</v>
      </c>
      <c r="M15" s="274"/>
      <c r="N15" s="274"/>
      <c r="O15" s="281"/>
      <c r="P15" s="281" t="s">
        <v>401</v>
      </c>
      <c r="Q15" s="275"/>
      <c r="R15" s="276" t="s">
        <v>402</v>
      </c>
      <c r="S15" s="274"/>
      <c r="T15" s="274"/>
      <c r="U15" s="274"/>
      <c r="V15" s="274"/>
      <c r="W15" s="277"/>
      <c r="X15" s="61"/>
      <c r="Y15" s="61"/>
      <c r="Z15" s="61"/>
      <c r="AA15" s="61"/>
    </row>
    <row r="16" spans="2:27">
      <c r="B16" s="138" t="s">
        <v>363</v>
      </c>
      <c r="C16" s="193">
        <f ca="1">'INCOME STATEMENT'!I23+'INCOME STATEMENT'!I16</f>
        <v>304.57837630747321</v>
      </c>
      <c r="D16" s="193">
        <f ca="1">'INCOME STATEMENT'!J23+'INCOME STATEMENT'!J16</f>
        <v>386.67624479967748</v>
      </c>
      <c r="E16" s="193">
        <f ca="1">'INCOME STATEMENT'!K23+'INCOME STATEMENT'!K16</f>
        <v>492.55778304710964</v>
      </c>
      <c r="F16" s="193">
        <f ca="1">'INCOME STATEMENT'!L23+'INCOME STATEMENT'!L16</f>
        <v>628.99708949214607</v>
      </c>
      <c r="G16" s="193">
        <f ca="1">'INCOME STATEMENT'!M23+'INCOME STATEMENT'!M16</f>
        <v>804.71865622308644</v>
      </c>
      <c r="I16" t="s">
        <v>363</v>
      </c>
      <c r="J16" s="193">
        <f ca="1">G16</f>
        <v>804.71865622308644</v>
      </c>
      <c r="K16" s="61"/>
      <c r="L16" s="268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70"/>
      <c r="X16" s="61"/>
      <c r="Y16" s="61"/>
      <c r="Z16" s="61"/>
      <c r="AA16" s="61"/>
    </row>
    <row r="17" spans="2:27">
      <c r="B17" s="138" t="s">
        <v>197</v>
      </c>
      <c r="C17" s="229">
        <f ca="1">-'INCOME STATEMENT'!I30</f>
        <v>-51.328074706772085</v>
      </c>
      <c r="D17" s="229">
        <f ca="1">-'INCOME STATEMENT'!J30</f>
        <v>-63.417421861492258</v>
      </c>
      <c r="E17" s="229">
        <f ca="1">-'INCOME STATEMENT'!K30</f>
        <v>-80.122907561622043</v>
      </c>
      <c r="F17" s="229">
        <f ca="1">-'INCOME STATEMENT'!L30</f>
        <v>-101.62275408915741</v>
      </c>
      <c r="G17" s="229">
        <f ca="1">-'INCOME STATEMENT'!M30</f>
        <v>-129.27848725615186</v>
      </c>
      <c r="I17" t="s">
        <v>364</v>
      </c>
      <c r="J17" s="226">
        <f ca="1">G18</f>
        <v>675.44016896693461</v>
      </c>
      <c r="K17" s="61"/>
      <c r="L17" s="278">
        <f ca="1">C53</f>
        <v>761.94397532571406</v>
      </c>
      <c r="M17" s="264">
        <v>0.02</v>
      </c>
      <c r="N17" s="264">
        <v>2.5000000000000001E-2</v>
      </c>
      <c r="O17" s="264">
        <v>0.03</v>
      </c>
      <c r="P17" s="264">
        <v>3.5000000000000003E-2</v>
      </c>
      <c r="Q17" s="264">
        <v>0.04</v>
      </c>
      <c r="R17" s="264">
        <v>4.4999999999999998E-2</v>
      </c>
      <c r="S17" s="264">
        <v>0.05</v>
      </c>
      <c r="T17" s="264">
        <v>5.5E-2</v>
      </c>
      <c r="U17" s="264">
        <v>0.06</v>
      </c>
      <c r="V17" s="264">
        <v>6.5000000000000002E-2</v>
      </c>
      <c r="W17" s="263"/>
      <c r="X17" s="61"/>
      <c r="Y17" s="61"/>
      <c r="Z17" s="61"/>
      <c r="AA17" s="61"/>
    </row>
    <row r="18" spans="2:27">
      <c r="B18" s="138" t="s">
        <v>364</v>
      </c>
      <c r="C18" s="226">
        <f ca="1">SUM(C16:C17)</f>
        <v>253.25030160070111</v>
      </c>
      <c r="D18" s="226">
        <f t="shared" ref="D18:G18" ca="1" si="1">SUM(D16:D17)</f>
        <v>323.25882293818523</v>
      </c>
      <c r="E18" s="226">
        <f t="shared" ca="1" si="1"/>
        <v>412.43487548548762</v>
      </c>
      <c r="F18" s="226">
        <f t="shared" ca="1" si="1"/>
        <v>527.37433540298866</v>
      </c>
      <c r="G18" s="226">
        <f t="shared" ca="1" si="1"/>
        <v>675.44016896693461</v>
      </c>
      <c r="I18" t="s">
        <v>395</v>
      </c>
      <c r="J18" s="193">
        <f ca="1">J17*J24</f>
        <v>41.254256704147579</v>
      </c>
      <c r="K18" s="61"/>
      <c r="L18" s="279">
        <v>0.06</v>
      </c>
      <c r="M18" s="269">
        <f t="dataTable" ref="M18:V28" dt2D="1" dtr="1" r1="C35" r2="D10" ca="1"/>
        <v>992.11205110114861</v>
      </c>
      <c r="N18" s="269">
        <v>1139.8312075630638</v>
      </c>
      <c r="O18" s="269">
        <v>1336.7900828456179</v>
      </c>
      <c r="P18" s="269">
        <v>1612.532508241193</v>
      </c>
      <c r="Q18" s="269">
        <v>2026.1461463345563</v>
      </c>
      <c r="R18" s="269">
        <v>2715.5022098234954</v>
      </c>
      <c r="S18" s="269">
        <v>4094.2143368013735</v>
      </c>
      <c r="T18" s="269">
        <v>8230.3507177350075</v>
      </c>
      <c r="U18" s="269" t="e">
        <v>#DIV/0!</v>
      </c>
      <c r="V18" s="269">
        <v>-8314.1948059995157</v>
      </c>
      <c r="W18" s="270"/>
      <c r="X18" s="61"/>
      <c r="Y18" s="61"/>
      <c r="Z18" s="61"/>
      <c r="AA18" s="61"/>
    </row>
    <row r="19" spans="2:27">
      <c r="B19" s="138" t="s">
        <v>365</v>
      </c>
      <c r="C19" s="193">
        <f>'INCOME STATEMENT'!I17</f>
        <v>92.176103266489662</v>
      </c>
      <c r="D19" s="193">
        <f>'INCOME STATEMENT'!J17</f>
        <v>118.52795417389443</v>
      </c>
      <c r="E19" s="193">
        <f>'INCOME STATEMENT'!K17</f>
        <v>152.1013295438047</v>
      </c>
      <c r="F19" s="193">
        <f>'INCOME STATEMENT'!L17</f>
        <v>195.00210301210078</v>
      </c>
      <c r="G19" s="193">
        <f>'INCOME STATEMENT'!M17</f>
        <v>249.93659285373477</v>
      </c>
      <c r="I19" s="259" t="s">
        <v>396</v>
      </c>
      <c r="J19" s="262">
        <f ca="1">J17-J18</f>
        <v>634.18591226278704</v>
      </c>
      <c r="K19" s="61"/>
      <c r="L19" s="279">
        <v>6.5000000000000002E-2</v>
      </c>
      <c r="M19" s="269">
        <v>851.9841117123342</v>
      </c>
      <c r="N19" s="269">
        <v>963.78669435143809</v>
      </c>
      <c r="O19" s="269">
        <v>1107.5328720302866</v>
      </c>
      <c r="P19" s="269">
        <v>1299.1944422687511</v>
      </c>
      <c r="Q19" s="269">
        <v>1567.5206406026009</v>
      </c>
      <c r="R19" s="269">
        <v>1970.0099381033763</v>
      </c>
      <c r="S19" s="269">
        <v>2640.8254339380019</v>
      </c>
      <c r="T19" s="269">
        <v>3982.4564256072535</v>
      </c>
      <c r="U19" s="269">
        <v>8007.3494006150022</v>
      </c>
      <c r="V19" s="269" t="e">
        <v>#DIV/0!</v>
      </c>
      <c r="W19" s="270"/>
      <c r="X19" s="61"/>
      <c r="Y19" s="61"/>
      <c r="Z19" s="61"/>
      <c r="AA19" s="61"/>
    </row>
    <row r="20" spans="2:27">
      <c r="B20" s="138" t="s">
        <v>366</v>
      </c>
      <c r="C20" s="229">
        <f>CFS!I16</f>
        <v>-234.4943035011899</v>
      </c>
      <c r="D20" s="229">
        <f>CFS!J16</f>
        <v>-447.69386790088146</v>
      </c>
      <c r="E20" s="229">
        <f>CFS!K16</f>
        <v>-577.98306319518451</v>
      </c>
      <c r="F20" s="229">
        <f>CFS!L16</f>
        <v>-745.57785403696857</v>
      </c>
      <c r="G20" s="229">
        <f>CFS!M16</f>
        <v>-961.18831089215041</v>
      </c>
      <c r="I20" s="236" t="s">
        <v>369</v>
      </c>
      <c r="J20" s="260">
        <f>G24</f>
        <v>0.66561741366453797</v>
      </c>
      <c r="K20" t="s">
        <v>371</v>
      </c>
      <c r="L20" s="279">
        <v>7.0000000000000007E-2</v>
      </c>
      <c r="M20" s="269">
        <v>740.40450928376276</v>
      </c>
      <c r="N20" s="269">
        <v>827.44240806884852</v>
      </c>
      <c r="O20" s="269">
        <v>936.23978155020586</v>
      </c>
      <c r="P20" s="269">
        <v>1076.1221188833797</v>
      </c>
      <c r="Q20" s="269">
        <v>1262.631901994278</v>
      </c>
      <c r="R20" s="269">
        <v>1523.7455983495352</v>
      </c>
      <c r="S20" s="269">
        <v>1915.4161428824216</v>
      </c>
      <c r="T20" s="269">
        <v>2568.2003837705652</v>
      </c>
      <c r="U20" s="269">
        <v>3873.7688655468523</v>
      </c>
      <c r="V20" s="269">
        <v>7790.4743108757157</v>
      </c>
      <c r="W20" s="270"/>
    </row>
    <row r="21" spans="2:27" ht="15" thickBot="1">
      <c r="B21" s="138" t="s">
        <v>389</v>
      </c>
      <c r="C21" s="229">
        <f>-ASSUMPTIONS!H80</f>
        <v>-157.70633616222085</v>
      </c>
      <c r="D21" s="229">
        <f>-ASSUMPTIONS!I80</f>
        <v>-175.99637422470744</v>
      </c>
      <c r="E21" s="229">
        <f>-ASSUMPTIONS!J80</f>
        <v>-226.335176678989</v>
      </c>
      <c r="F21" s="229">
        <f>-ASSUMPTIONS!K80</f>
        <v>-291.09122420450467</v>
      </c>
      <c r="G21" s="229">
        <f>-ASSUMPTIONS!L80</f>
        <v>-374.40597835071367</v>
      </c>
      <c r="L21" s="279">
        <v>7.4999999999999997E-2</v>
      </c>
      <c r="M21" s="269">
        <v>649.57384832838784</v>
      </c>
      <c r="N21" s="269">
        <v>718.8734907211059</v>
      </c>
      <c r="O21" s="269">
        <v>803.5730536455394</v>
      </c>
      <c r="P21" s="269">
        <v>909.44750730108126</v>
      </c>
      <c r="Q21" s="269">
        <v>1045.5718048582064</v>
      </c>
      <c r="R21" s="269">
        <v>1227.0708682677066</v>
      </c>
      <c r="S21" s="269">
        <v>1481.1695570410066</v>
      </c>
      <c r="T21" s="269">
        <v>1862.3175902009571</v>
      </c>
      <c r="U21" s="269">
        <v>2497.5643121342073</v>
      </c>
      <c r="V21" s="269">
        <v>3768.0577560007109</v>
      </c>
      <c r="W21" s="270"/>
    </row>
    <row r="22" spans="2:27">
      <c r="B22" s="234" t="s">
        <v>367</v>
      </c>
      <c r="C22" s="235">
        <f ca="1">SUM(C18:C21)</f>
        <v>-46.774234796220014</v>
      </c>
      <c r="D22" s="235">
        <f t="shared" ref="D22:G22" ca="1" si="2">SUM(D18:D21)</f>
        <v>-181.90346501350922</v>
      </c>
      <c r="E22" s="235">
        <f t="shared" ca="1" si="2"/>
        <v>-239.7820348448812</v>
      </c>
      <c r="F22" s="258">
        <f t="shared" ca="1" si="2"/>
        <v>-314.29263982638383</v>
      </c>
      <c r="G22" s="235">
        <f t="shared" ca="1" si="2"/>
        <v>-410.21752742219473</v>
      </c>
      <c r="I22" s="85" t="s">
        <v>392</v>
      </c>
      <c r="J22" s="193">
        <f ca="1">F16+G16/2</f>
        <v>1031.3564176036894</v>
      </c>
      <c r="L22" s="279">
        <v>0.08</v>
      </c>
      <c r="M22" s="269">
        <v>574.2929349709317</v>
      </c>
      <c r="N22" s="269">
        <v>630.49183471350079</v>
      </c>
      <c r="O22" s="269">
        <v>697.93051440458373</v>
      </c>
      <c r="P22" s="265">
        <v>780.35556736035198</v>
      </c>
      <c r="Q22" s="266">
        <v>883.38688355506224</v>
      </c>
      <c r="R22" s="267">
        <v>1015.8557186625467</v>
      </c>
      <c r="S22" s="269">
        <v>1192.4808321391927</v>
      </c>
      <c r="T22" s="269">
        <v>1439.7559910064963</v>
      </c>
      <c r="U22" s="269">
        <v>1810.6687293074533</v>
      </c>
      <c r="V22" s="269">
        <v>2428.8566264757142</v>
      </c>
      <c r="W22" s="270"/>
    </row>
    <row r="23" spans="2:27">
      <c r="I23" s="85" t="s">
        <v>393</v>
      </c>
      <c r="J23" s="257">
        <f ca="1">G18/J22</f>
        <v>0.65490470359052955</v>
      </c>
      <c r="L23" s="279">
        <v>8.5000000000000006E-2</v>
      </c>
      <c r="M23" s="269">
        <v>510.96268566635666</v>
      </c>
      <c r="N23" s="269">
        <v>557.23908868165938</v>
      </c>
      <c r="O23" s="269">
        <v>611.92938315429001</v>
      </c>
      <c r="P23" s="268">
        <v>677.55773652144671</v>
      </c>
      <c r="Q23" s="269">
        <v>757.77016841463819</v>
      </c>
      <c r="R23" s="270">
        <v>858.03570828112754</v>
      </c>
      <c r="S23" s="269">
        <v>986.9485452523279</v>
      </c>
      <c r="T23" s="269">
        <v>1158.8323278805954</v>
      </c>
      <c r="U23" s="269">
        <v>1399.4696235601696</v>
      </c>
      <c r="V23" s="269">
        <v>1760.4255670795312</v>
      </c>
      <c r="W23" s="270"/>
    </row>
    <row r="24" spans="2:27" ht="15" thickBot="1">
      <c r="B24" s="236" t="s">
        <v>369</v>
      </c>
      <c r="C24" s="237">
        <f>1/(1+$D$10)^C14</f>
        <v>0.92181747122861946</v>
      </c>
      <c r="D24" s="237">
        <f>1/(1+$D$10)^D14</f>
        <v>0.84974745026232656</v>
      </c>
      <c r="E24" s="237">
        <f>1/(1+$D$10)^E14</f>
        <v>0.78331204578378499</v>
      </c>
      <c r="F24" s="237">
        <f>1/(1+$D$10)^F14</f>
        <v>0.72207072922732518</v>
      </c>
      <c r="G24" s="237">
        <f>1/(1+$D$10)^G14</f>
        <v>0.66561741366453797</v>
      </c>
      <c r="I24" s="85" t="s">
        <v>394</v>
      </c>
      <c r="J24" s="257">
        <f ca="1">C35/J23</f>
        <v>6.1077588511273651E-2</v>
      </c>
      <c r="L24" s="279">
        <v>0.09</v>
      </c>
      <c r="M24" s="269">
        <v>457.01264699366646</v>
      </c>
      <c r="N24" s="269">
        <v>495.61366119596903</v>
      </c>
      <c r="O24" s="269">
        <v>540.64817776532243</v>
      </c>
      <c r="P24" s="271">
        <v>593.87078825637616</v>
      </c>
      <c r="Q24" s="272">
        <v>657.73792084564082</v>
      </c>
      <c r="R24" s="273">
        <v>735.797749565853</v>
      </c>
      <c r="S24" s="269">
        <v>833.37253546611805</v>
      </c>
      <c r="T24" s="269">
        <v>958.82583162360197</v>
      </c>
      <c r="U24" s="269">
        <v>1126.0968931669138</v>
      </c>
      <c r="V24" s="269">
        <v>1360.2763793275506</v>
      </c>
      <c r="W24" s="270"/>
    </row>
    <row r="25" spans="2:27">
      <c r="L25" s="279">
        <v>9.5000000000000001E-2</v>
      </c>
      <c r="M25" s="269">
        <v>410.55810800086431</v>
      </c>
      <c r="N25" s="269">
        <v>443.1147233789161</v>
      </c>
      <c r="O25" s="269">
        <v>480.68004881513014</v>
      </c>
      <c r="P25" s="269">
        <v>524.50626182404631</v>
      </c>
      <c r="Q25" s="269">
        <v>576.30087719822006</v>
      </c>
      <c r="R25" s="269">
        <v>638.45441564722853</v>
      </c>
      <c r="S25" s="269">
        <v>714.4198515293499</v>
      </c>
      <c r="T25" s="269">
        <v>809.37664638200158</v>
      </c>
      <c r="U25" s="269">
        <v>931.46395404969701</v>
      </c>
      <c r="V25" s="269">
        <v>1094.2470309399569</v>
      </c>
      <c r="W25" s="270"/>
    </row>
    <row r="26" spans="2:27">
      <c r="B26" s="231" t="s">
        <v>368</v>
      </c>
      <c r="C26" s="232">
        <f ca="1">C22*C24</f>
        <v>-43.117306838505236</v>
      </c>
      <c r="D26" s="232">
        <f t="shared" ref="D26:F26" ca="1" si="3">D22*D24</f>
        <v>-154.5720055891118</v>
      </c>
      <c r="E26" s="232">
        <f t="shared" ca="1" si="3"/>
        <v>-187.82415625654272</v>
      </c>
      <c r="F26" s="232">
        <f t="shared" ca="1" si="3"/>
        <v>-226.94151563021805</v>
      </c>
      <c r="G26" s="232">
        <f ca="1">J19*J20</f>
        <v>422.12518670284192</v>
      </c>
      <c r="L26" s="279">
        <v>0.1</v>
      </c>
      <c r="M26" s="269">
        <v>370.18579584000577</v>
      </c>
      <c r="N26" s="269">
        <v>397.90861092145451</v>
      </c>
      <c r="O26" s="269">
        <v>429.59182815739615</v>
      </c>
      <c r="P26" s="269">
        <v>466.14938650655949</v>
      </c>
      <c r="Q26" s="269">
        <v>508.79987124725017</v>
      </c>
      <c r="R26" s="269">
        <v>559.20498957715722</v>
      </c>
      <c r="S26" s="269">
        <v>619.6911315730456</v>
      </c>
      <c r="T26" s="269">
        <v>693.61863845690937</v>
      </c>
      <c r="U26" s="269">
        <v>786.02802206173885</v>
      </c>
      <c r="V26" s="269">
        <v>904.84008669651973</v>
      </c>
      <c r="W26" s="270"/>
    </row>
    <row r="27" spans="2:27">
      <c r="B27" s="233">
        <f ca="1">SUM(C26:G26)</f>
        <v>-190.32979761153592</v>
      </c>
      <c r="C27" s="160"/>
      <c r="D27" s="160"/>
      <c r="E27" s="160"/>
      <c r="F27" s="160"/>
      <c r="G27" s="160"/>
      <c r="I27" s="144" t="s">
        <v>399</v>
      </c>
      <c r="J27" s="160"/>
      <c r="L27" s="279">
        <v>0.105</v>
      </c>
      <c r="M27" s="269">
        <v>334.81520861390896</v>
      </c>
      <c r="N27" s="269">
        <v>358.62032574246797</v>
      </c>
      <c r="O27" s="269">
        <v>385.59945848816835</v>
      </c>
      <c r="P27" s="269">
        <v>416.43275305468302</v>
      </c>
      <c r="Q27" s="269">
        <v>452.00963140066153</v>
      </c>
      <c r="R27" s="269">
        <v>493.51598947096988</v>
      </c>
      <c r="S27" s="269">
        <v>542.56895809951584</v>
      </c>
      <c r="T27" s="269">
        <v>601.43252045377108</v>
      </c>
      <c r="U27" s="269">
        <v>673.37687444230528</v>
      </c>
      <c r="V27" s="269">
        <v>763.30731692797326</v>
      </c>
      <c r="W27" s="270"/>
    </row>
    <row r="28" spans="2:27">
      <c r="B28" s="227"/>
      <c r="I28" s="160" t="s">
        <v>397</v>
      </c>
      <c r="J28" s="122">
        <f ca="1">J19*(1+C35)</f>
        <v>659.55334875329856</v>
      </c>
      <c r="L28" s="279">
        <v>0.11</v>
      </c>
      <c r="M28" s="269">
        <v>303.60617094731373</v>
      </c>
      <c r="N28" s="269">
        <v>324.19862565668853</v>
      </c>
      <c r="O28" s="269">
        <v>347.36513720473539</v>
      </c>
      <c r="P28" s="269">
        <v>373.62051695918825</v>
      </c>
      <c r="Q28" s="269">
        <v>403.62666524999167</v>
      </c>
      <c r="R28" s="269">
        <v>438.2491440470726</v>
      </c>
      <c r="S28" s="269">
        <v>478.64203597700015</v>
      </c>
      <c r="T28" s="269">
        <v>526.37909007600547</v>
      </c>
      <c r="U28" s="269">
        <v>583.6635549948121</v>
      </c>
      <c r="V28" s="269">
        <v>653.67790100668674</v>
      </c>
      <c r="W28" s="270"/>
    </row>
    <row r="29" spans="2:27" ht="15" thickBot="1">
      <c r="B29" s="241"/>
      <c r="C29" s="248" t="s">
        <v>375</v>
      </c>
      <c r="D29" s="150"/>
      <c r="E29" s="241"/>
      <c r="F29" s="249" t="s">
        <v>380</v>
      </c>
      <c r="I29" s="160" t="s">
        <v>398</v>
      </c>
      <c r="J29" s="163">
        <f>D10-C35</f>
        <v>4.4813459509697985E-2</v>
      </c>
      <c r="L29" s="271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3"/>
    </row>
    <row r="30" spans="2:27">
      <c r="B30" s="244" t="s">
        <v>372</v>
      </c>
      <c r="C30" s="230">
        <f ca="1">AVERAGE('INCOME STATEMENT'!I31:M31)/AVERAGE('BALANCE SHEET'!H41:L41)</f>
        <v>0.17389899107202861</v>
      </c>
      <c r="D30" s="245"/>
      <c r="E30" s="242" t="s">
        <v>376</v>
      </c>
      <c r="F30" s="122">
        <f ca="1">G16+G19</f>
        <v>1054.6552490768213</v>
      </c>
      <c r="I30" s="138"/>
      <c r="J30" s="261"/>
    </row>
    <row r="31" spans="2:27">
      <c r="B31" s="244" t="s">
        <v>373</v>
      </c>
      <c r="C31" s="233" t="s">
        <v>374</v>
      </c>
      <c r="D31" s="246">
        <v>1</v>
      </c>
      <c r="E31" s="243" t="s">
        <v>377</v>
      </c>
      <c r="F31" s="160">
        <v>21.7</v>
      </c>
      <c r="I31" s="144" t="s">
        <v>399</v>
      </c>
      <c r="J31" s="122">
        <f ca="1">J28/J29</f>
        <v>14717.751228524681</v>
      </c>
    </row>
    <row r="32" spans="2:27">
      <c r="B32" s="192">
        <f ca="1">C30*D31</f>
        <v>0.17389899107202861</v>
      </c>
      <c r="C32" s="160"/>
      <c r="D32" s="150"/>
      <c r="E32" s="242" t="s">
        <v>378</v>
      </c>
      <c r="F32" s="122">
        <f ca="1">F30*F31</f>
        <v>22886.018904967023</v>
      </c>
    </row>
    <row r="33" spans="2:23" ht="15" thickBot="1">
      <c r="B33" s="241"/>
      <c r="C33" s="160"/>
      <c r="D33" s="150"/>
      <c r="E33" s="241" t="s">
        <v>383</v>
      </c>
      <c r="F33" s="122">
        <f ca="1">F32*G24</f>
        <v>15233.33271260187</v>
      </c>
    </row>
    <row r="34" spans="2:23">
      <c r="B34" s="138"/>
      <c r="C34" s="152"/>
      <c r="F34" s="152"/>
      <c r="L34" s="265"/>
      <c r="M34" s="274"/>
      <c r="N34" s="274"/>
      <c r="O34" s="275"/>
      <c r="P34" s="281" t="s">
        <v>403</v>
      </c>
      <c r="Q34" s="275"/>
      <c r="R34" s="276" t="s">
        <v>402</v>
      </c>
      <c r="S34" s="274"/>
      <c r="T34" s="274"/>
      <c r="U34" s="274"/>
      <c r="V34" s="274"/>
      <c r="W34" s="277"/>
    </row>
    <row r="35" spans="2:23">
      <c r="B35" s="238" t="s">
        <v>379</v>
      </c>
      <c r="C35" s="247">
        <v>0.04</v>
      </c>
      <c r="F35" s="152"/>
      <c r="L35" s="268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70"/>
    </row>
    <row r="36" spans="2:23">
      <c r="B36" s="138"/>
      <c r="C36" s="152"/>
      <c r="F36" s="152"/>
      <c r="L36" s="278">
        <f ca="1">F53</f>
        <v>1224.6623757438583</v>
      </c>
      <c r="M36" s="280">
        <v>18</v>
      </c>
      <c r="N36" s="280">
        <v>18.5</v>
      </c>
      <c r="O36" s="280">
        <v>19</v>
      </c>
      <c r="P36" s="280">
        <v>19.5</v>
      </c>
      <c r="Q36" s="280">
        <v>20</v>
      </c>
      <c r="R36" s="280">
        <v>20.5</v>
      </c>
      <c r="S36" s="280">
        <v>21</v>
      </c>
      <c r="T36" s="280">
        <v>21.5</v>
      </c>
      <c r="U36" s="280">
        <v>22</v>
      </c>
      <c r="V36" s="280">
        <v>22.5</v>
      </c>
      <c r="W36" s="263"/>
    </row>
    <row r="37" spans="2:23">
      <c r="B37" s="241" t="s">
        <v>381</v>
      </c>
      <c r="C37" s="122">
        <f ca="1">J28/J29</f>
        <v>14717.751228524681</v>
      </c>
      <c r="F37" s="152"/>
      <c r="L37" s="279">
        <v>0.03</v>
      </c>
      <c r="M37" s="269">
        <f t="dataTable" ref="M37:V46" dt2D="1" dtr="1" r1="F31" r2="C35" ca="1"/>
        <v>1004.1922787973916</v>
      </c>
      <c r="N37" s="269">
        <v>1034.0644872739128</v>
      </c>
      <c r="O37" s="269">
        <v>1063.9366957504337</v>
      </c>
      <c r="P37" s="269">
        <v>1093.8089042269548</v>
      </c>
      <c r="Q37" s="269">
        <v>1123.6811127034755</v>
      </c>
      <c r="R37" s="269">
        <v>1153.5533211799966</v>
      </c>
      <c r="S37" s="269">
        <v>1183.4255296565175</v>
      </c>
      <c r="T37" s="269">
        <v>1213.2977381330386</v>
      </c>
      <c r="U37" s="269">
        <v>1243.1699466095595</v>
      </c>
      <c r="V37" s="269">
        <v>1273.0421550860806</v>
      </c>
      <c r="W37" s="270"/>
    </row>
    <row r="38" spans="2:23">
      <c r="B38" s="241" t="s">
        <v>382</v>
      </c>
      <c r="C38" s="122">
        <f ca="1">C37*J20</f>
        <v>9796.3915076886751</v>
      </c>
      <c r="F38" s="152"/>
      <c r="L38" s="279">
        <v>3.5000000000000003E-2</v>
      </c>
      <c r="M38" s="269">
        <v>1003.9001559074974</v>
      </c>
      <c r="N38" s="269">
        <v>1033.7723643840186</v>
      </c>
      <c r="O38" s="269">
        <v>1063.6445728605395</v>
      </c>
      <c r="P38" s="269">
        <v>1093.5167813370606</v>
      </c>
      <c r="Q38" s="269">
        <v>1123.3889898135815</v>
      </c>
      <c r="R38" s="269">
        <v>1153.2611982901024</v>
      </c>
      <c r="S38" s="269">
        <v>1183.1334067666232</v>
      </c>
      <c r="T38" s="269">
        <v>1213.0056152431443</v>
      </c>
      <c r="U38" s="269">
        <v>1242.8778237196652</v>
      </c>
      <c r="V38" s="269">
        <v>1272.7500321961863</v>
      </c>
      <c r="W38" s="270"/>
    </row>
    <row r="39" spans="2:23">
      <c r="B39" s="138"/>
      <c r="C39" s="152"/>
      <c r="F39" s="152"/>
      <c r="L39" s="279">
        <v>0.04</v>
      </c>
      <c r="M39" s="269">
        <v>1003.608033017603</v>
      </c>
      <c r="N39" s="269">
        <v>1033.4802414941241</v>
      </c>
      <c r="O39" s="269">
        <v>1063.352449970645</v>
      </c>
      <c r="P39" s="269">
        <v>1093.2246584471661</v>
      </c>
      <c r="Q39" s="269">
        <v>1123.096866923687</v>
      </c>
      <c r="R39" s="269">
        <v>1152.9690754002079</v>
      </c>
      <c r="S39" s="269">
        <v>1182.841283876729</v>
      </c>
      <c r="T39" s="269">
        <v>1212.7134923532501</v>
      </c>
      <c r="U39" s="269">
        <v>1242.585700829771</v>
      </c>
      <c r="V39" s="269">
        <v>1272.4579093062921</v>
      </c>
      <c r="W39" s="270"/>
    </row>
    <row r="40" spans="2:23">
      <c r="B40" s="138"/>
      <c r="C40" s="152"/>
      <c r="F40" s="152"/>
      <c r="L40" s="279">
        <v>4.4999999999999998E-2</v>
      </c>
      <c r="M40" s="269">
        <v>1003.3159101277087</v>
      </c>
      <c r="N40" s="269">
        <v>1033.1881186042299</v>
      </c>
      <c r="O40" s="269">
        <v>1063.0603270807508</v>
      </c>
      <c r="P40" s="269">
        <v>1092.9325355572719</v>
      </c>
      <c r="Q40" s="269">
        <v>1122.8047440337928</v>
      </c>
      <c r="R40" s="269">
        <v>1152.6769525103136</v>
      </c>
      <c r="S40" s="269">
        <v>1182.5491609868345</v>
      </c>
      <c r="T40" s="269">
        <v>1212.4213694633556</v>
      </c>
      <c r="U40" s="269">
        <v>1242.2935779398765</v>
      </c>
      <c r="V40" s="269">
        <v>1272.1657864163976</v>
      </c>
      <c r="W40" s="270"/>
    </row>
    <row r="41" spans="2:23">
      <c r="B41" s="240" t="s">
        <v>384</v>
      </c>
      <c r="C41" s="252">
        <f ca="1">(B27)+(C38)</f>
        <v>9606.0617100771397</v>
      </c>
      <c r="D41" s="253"/>
      <c r="E41" s="253"/>
      <c r="F41" s="252">
        <f ca="1">B27+F33</f>
        <v>15043.002914990335</v>
      </c>
      <c r="L41" s="279">
        <v>0.05</v>
      </c>
      <c r="M41" s="269">
        <v>1003.0237872378143</v>
      </c>
      <c r="N41" s="269">
        <v>1032.8959957143354</v>
      </c>
      <c r="O41" s="269">
        <v>1062.7682041908563</v>
      </c>
      <c r="P41" s="269">
        <v>1092.6404126673774</v>
      </c>
      <c r="Q41" s="269">
        <v>1122.5126211438983</v>
      </c>
      <c r="R41" s="269">
        <v>1152.3848296204192</v>
      </c>
      <c r="S41" s="269">
        <v>1182.2570380969403</v>
      </c>
      <c r="T41" s="269">
        <v>1212.1292465734614</v>
      </c>
      <c r="U41" s="269">
        <v>1242.0014550499823</v>
      </c>
      <c r="V41" s="269">
        <v>1271.8736635265034</v>
      </c>
      <c r="W41" s="270"/>
    </row>
    <row r="42" spans="2:23" ht="15" thickBot="1">
      <c r="B42" s="138"/>
      <c r="C42" s="254"/>
      <c r="D42" s="61"/>
      <c r="E42" s="61"/>
      <c r="F42" s="254"/>
      <c r="L42" s="279">
        <v>5.5E-2</v>
      </c>
      <c r="M42" s="269">
        <v>1002.7316643479199</v>
      </c>
      <c r="N42" s="269">
        <v>1032.6038728244412</v>
      </c>
      <c r="O42" s="269">
        <v>1062.4760813009621</v>
      </c>
      <c r="P42" s="269">
        <v>1092.3482897774832</v>
      </c>
      <c r="Q42" s="269">
        <v>1122.2204982540038</v>
      </c>
      <c r="R42" s="269">
        <v>1152.0927067305249</v>
      </c>
      <c r="S42" s="269">
        <v>1181.9649152070458</v>
      </c>
      <c r="T42" s="269">
        <v>1211.8371236835669</v>
      </c>
      <c r="U42" s="269">
        <v>1241.7093321600878</v>
      </c>
      <c r="V42" s="269">
        <v>1271.5815406366089</v>
      </c>
      <c r="W42" s="270"/>
    </row>
    <row r="43" spans="2:23">
      <c r="B43" s="138"/>
      <c r="C43" s="254"/>
      <c r="D43" s="61"/>
      <c r="E43" s="61"/>
      <c r="F43" s="254"/>
      <c r="L43" s="279">
        <v>0.06</v>
      </c>
      <c r="M43" s="269">
        <v>1002.4395414580257</v>
      </c>
      <c r="N43" s="269">
        <v>1032.3117499345469</v>
      </c>
      <c r="O43" s="269">
        <v>1062.1839584110676</v>
      </c>
      <c r="P43" s="269">
        <v>1092.0561668875887</v>
      </c>
      <c r="Q43" s="269">
        <v>1121.9283753641096</v>
      </c>
      <c r="R43" s="269">
        <v>1151.8005838406307</v>
      </c>
      <c r="S43" s="265">
        <v>1181.6727923171516</v>
      </c>
      <c r="T43" s="266">
        <v>1211.5450007936727</v>
      </c>
      <c r="U43" s="267">
        <v>1241.4172092701936</v>
      </c>
      <c r="V43" s="269">
        <v>1271.2894177467147</v>
      </c>
      <c r="W43" s="270"/>
    </row>
    <row r="44" spans="2:23">
      <c r="B44" s="240" t="s">
        <v>385</v>
      </c>
      <c r="C44" s="252">
        <f>'BALANCE SHEET'!G27+'BALANCE SHEET'!G28+'BALANCE SHEET'!G15+'BALANCE SHEET'!G25+'BALANCE SHEET'!G16+'BALANCE SHEET'!G29+'BALANCE SHEET'!G17+'BALANCE SHEET'!G30</f>
        <v>279.16999999999996</v>
      </c>
      <c r="D44" s="253"/>
      <c r="E44" s="253"/>
      <c r="F44" s="252">
        <f>C44</f>
        <v>279.16999999999996</v>
      </c>
      <c r="L44" s="279">
        <v>6.5000000000000002E-2</v>
      </c>
      <c r="M44" s="269">
        <v>1002.1474185681313</v>
      </c>
      <c r="N44" s="269">
        <v>1032.0196270446525</v>
      </c>
      <c r="O44" s="269">
        <v>1061.8918355211733</v>
      </c>
      <c r="P44" s="269">
        <v>1091.7640439976944</v>
      </c>
      <c r="Q44" s="269">
        <v>1121.6362524742153</v>
      </c>
      <c r="R44" s="269">
        <v>1151.5084609507362</v>
      </c>
      <c r="S44" s="268">
        <v>1181.3806694272573</v>
      </c>
      <c r="T44" s="269">
        <v>1211.2528779037784</v>
      </c>
      <c r="U44" s="270">
        <v>1241.1250863802993</v>
      </c>
      <c r="V44" s="269">
        <v>1270.9972948568204</v>
      </c>
      <c r="W44" s="270"/>
    </row>
    <row r="45" spans="2:23" ht="15" thickBot="1">
      <c r="B45" s="138"/>
      <c r="C45" s="254"/>
      <c r="D45" s="61"/>
      <c r="E45" s="61"/>
      <c r="F45" s="254"/>
      <c r="L45" s="279">
        <v>7.0000000000000007E-2</v>
      </c>
      <c r="M45" s="269">
        <v>1001.855295678237</v>
      </c>
      <c r="N45" s="269">
        <v>1031.7275041547582</v>
      </c>
      <c r="O45" s="269">
        <v>1061.5997126312791</v>
      </c>
      <c r="P45" s="269">
        <v>1091.4719211078002</v>
      </c>
      <c r="Q45" s="269">
        <v>1121.3441295843211</v>
      </c>
      <c r="R45" s="269">
        <v>1151.216338060842</v>
      </c>
      <c r="S45" s="271">
        <v>1181.0885465373628</v>
      </c>
      <c r="T45" s="272">
        <v>1210.960755013884</v>
      </c>
      <c r="U45" s="273">
        <v>1240.8329634904048</v>
      </c>
      <c r="V45" s="269">
        <v>1270.7051719669259</v>
      </c>
      <c r="W45" s="270"/>
    </row>
    <row r="46" spans="2:23">
      <c r="B46" s="138"/>
      <c r="C46" s="254"/>
      <c r="D46" s="61"/>
      <c r="E46" s="61"/>
      <c r="F46" s="254"/>
      <c r="L46" s="279">
        <v>7.4999999999999997E-2</v>
      </c>
      <c r="M46" s="269">
        <v>1001.5631727883426</v>
      </c>
      <c r="N46" s="269">
        <v>1031.4353812648637</v>
      </c>
      <c r="O46" s="269">
        <v>1061.3075897413846</v>
      </c>
      <c r="P46" s="269">
        <v>1091.1797982179057</v>
      </c>
      <c r="Q46" s="269">
        <v>1121.0520066944266</v>
      </c>
      <c r="R46" s="269">
        <v>1150.9242151709475</v>
      </c>
      <c r="S46" s="269">
        <v>1180.7964236474686</v>
      </c>
      <c r="T46" s="269">
        <v>1210.6686321239897</v>
      </c>
      <c r="U46" s="269">
        <v>1240.5408406005106</v>
      </c>
      <c r="V46" s="269">
        <v>1270.4130490770317</v>
      </c>
      <c r="W46" s="270"/>
    </row>
    <row r="47" spans="2:23">
      <c r="B47" s="240" t="s">
        <v>400</v>
      </c>
      <c r="C47" s="252">
        <f ca="1">C41+C44</f>
        <v>9885.2317100771397</v>
      </c>
      <c r="D47" s="253"/>
      <c r="E47" s="253"/>
      <c r="F47" s="252">
        <f ca="1">F41+F44</f>
        <v>15322.172914990335</v>
      </c>
      <c r="L47" s="268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70"/>
    </row>
    <row r="48" spans="2:23" ht="15" thickBot="1">
      <c r="B48" s="138"/>
      <c r="C48" s="254"/>
      <c r="D48" s="61"/>
      <c r="E48" s="61"/>
      <c r="F48" s="254"/>
      <c r="L48" s="271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3"/>
    </row>
    <row r="49" spans="2:7">
      <c r="B49" s="138"/>
      <c r="C49" s="254"/>
      <c r="D49" s="61"/>
      <c r="E49" s="61"/>
      <c r="F49" s="254"/>
    </row>
    <row r="50" spans="2:7">
      <c r="B50" s="240" t="s">
        <v>386</v>
      </c>
      <c r="C50" s="252">
        <f ca="1">'DCF VALUATION'!C47-'DEBT SCHEDULE'!H11-'BALANCE SHEET'!G27</f>
        <v>8952.8417100771403</v>
      </c>
      <c r="D50" s="253"/>
      <c r="E50" s="253"/>
      <c r="F50" s="252">
        <f ca="1">F47-'DEBT SCHEDULE'!H11-'BALANCE SHEET'!G27</f>
        <v>14389.782914990335</v>
      </c>
    </row>
    <row r="51" spans="2:7">
      <c r="B51" s="138"/>
      <c r="C51" s="254"/>
      <c r="D51" s="61"/>
      <c r="E51" s="61"/>
      <c r="F51" s="254"/>
    </row>
    <row r="52" spans="2:7">
      <c r="B52" s="138"/>
      <c r="C52" s="254"/>
      <c r="D52" s="61"/>
      <c r="E52" s="61"/>
      <c r="F52" s="254"/>
    </row>
    <row r="53" spans="2:7">
      <c r="B53" s="240" t="s">
        <v>387</v>
      </c>
      <c r="C53" s="252">
        <f ca="1">C50/11.75</f>
        <v>761.94397532571406</v>
      </c>
      <c r="D53" s="253"/>
      <c r="E53" s="253"/>
      <c r="F53" s="252">
        <f ca="1">F50/11.75</f>
        <v>1224.6623757438583</v>
      </c>
      <c r="G53" s="250" t="s">
        <v>388</v>
      </c>
    </row>
    <row r="54" spans="2:7">
      <c r="B54" s="139"/>
      <c r="C54" s="131"/>
      <c r="D54" s="239"/>
      <c r="E54" s="239"/>
      <c r="F54" s="131"/>
    </row>
  </sheetData>
  <dataValidations count="1">
    <dataValidation type="list" allowBlank="1" showInputMessage="1" showErrorMessage="1" sqref="B5" xr:uid="{D2E5351C-F1ED-45FD-8E2E-C197ADF5491A}">
      <formula1>$E$2:$E$3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0AA7-900B-4F8D-B3E7-FF77942D191F}">
  <dimension ref="B1:T48"/>
  <sheetViews>
    <sheetView zoomScale="70" zoomScaleNormal="70" workbookViewId="0">
      <pane xSplit="2" ySplit="2" topLeftCell="C23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4"/>
  <cols>
    <col min="1" max="1" width="1.88671875" customWidth="1"/>
    <col min="2" max="2" width="29.5546875" customWidth="1"/>
    <col min="3" max="3" width="1.88671875" customWidth="1"/>
    <col min="4" max="4" width="13.5546875" customWidth="1"/>
    <col min="5" max="5" width="19.44140625" customWidth="1"/>
    <col min="6" max="7" width="15.109375" customWidth="1"/>
    <col min="8" max="8" width="12.88671875" customWidth="1"/>
    <col min="9" max="9" width="13.44140625" bestFit="1" customWidth="1"/>
    <col min="10" max="10" width="16.5546875" customWidth="1"/>
    <col min="11" max="11" width="18.5546875" customWidth="1"/>
    <col min="12" max="12" width="18.109375" customWidth="1"/>
    <col min="13" max="13" width="17.77734375" customWidth="1"/>
    <col min="14" max="14" width="14.6640625" customWidth="1"/>
    <col min="15" max="15" width="12.88671875" customWidth="1"/>
    <col min="16" max="16" width="10.44140625" customWidth="1"/>
    <col min="17" max="18" width="14.6640625" bestFit="1" customWidth="1"/>
    <col min="19" max="20" width="12.88671875" bestFit="1" customWidth="1"/>
    <col min="22" max="22" width="17.109375" customWidth="1"/>
    <col min="23" max="23" width="13.77734375" customWidth="1"/>
    <col min="24" max="24" width="14.33203125" customWidth="1"/>
    <col min="25" max="25" width="14.5546875" customWidth="1"/>
  </cols>
  <sheetData>
    <row r="1" spans="2:20" ht="15" thickBot="1"/>
    <row r="2" spans="2:20" ht="15" thickBot="1">
      <c r="B2" s="302"/>
      <c r="C2" s="303"/>
      <c r="D2" s="356" t="s">
        <v>404</v>
      </c>
      <c r="E2" s="356"/>
      <c r="F2" s="356"/>
      <c r="G2" s="356"/>
      <c r="H2" s="356"/>
      <c r="I2" s="356"/>
      <c r="J2" s="304"/>
      <c r="K2" s="305"/>
      <c r="L2" s="356" t="s">
        <v>405</v>
      </c>
      <c r="M2" s="356"/>
      <c r="N2" s="356"/>
      <c r="O2" s="356"/>
      <c r="P2" s="304"/>
      <c r="Q2" s="356" t="s">
        <v>406</v>
      </c>
      <c r="R2" s="356"/>
      <c r="S2" s="356"/>
      <c r="T2" s="357"/>
    </row>
    <row r="3" spans="2:20" ht="27.6">
      <c r="B3" s="282" t="s">
        <v>431</v>
      </c>
      <c r="C3" s="298"/>
      <c r="D3" s="283" t="s">
        <v>407</v>
      </c>
      <c r="E3" s="283" t="s">
        <v>408</v>
      </c>
      <c r="F3" s="283" t="s">
        <v>409</v>
      </c>
      <c r="G3" s="284" t="s">
        <v>410</v>
      </c>
      <c r="H3" s="284" t="s">
        <v>411</v>
      </c>
      <c r="I3" s="283" t="s">
        <v>412</v>
      </c>
      <c r="J3" s="283" t="s">
        <v>413</v>
      </c>
      <c r="K3" s="283" t="s">
        <v>414</v>
      </c>
      <c r="L3" s="283" t="s">
        <v>415</v>
      </c>
      <c r="M3" s="283" t="s">
        <v>376</v>
      </c>
      <c r="N3" s="283" t="s">
        <v>363</v>
      </c>
      <c r="O3" s="283" t="s">
        <v>416</v>
      </c>
      <c r="P3" s="283" t="s">
        <v>417</v>
      </c>
      <c r="Q3" s="283" t="s">
        <v>418</v>
      </c>
      <c r="R3" s="283" t="s">
        <v>377</v>
      </c>
      <c r="S3" s="283" t="s">
        <v>419</v>
      </c>
      <c r="T3" s="285" t="s">
        <v>420</v>
      </c>
    </row>
    <row r="4" spans="2:20">
      <c r="B4" s="286" t="s">
        <v>421</v>
      </c>
      <c r="C4" s="299"/>
      <c r="D4" s="299" t="s">
        <v>422</v>
      </c>
      <c r="E4" s="299"/>
      <c r="F4" s="299" t="s">
        <v>423</v>
      </c>
      <c r="G4" s="299" t="s">
        <v>423</v>
      </c>
      <c r="H4" s="299" t="s">
        <v>423</v>
      </c>
      <c r="I4" s="299" t="s">
        <v>423</v>
      </c>
      <c r="J4" s="299" t="s">
        <v>423</v>
      </c>
      <c r="K4" s="299" t="s">
        <v>423</v>
      </c>
      <c r="L4" s="299" t="s">
        <v>423</v>
      </c>
      <c r="M4" s="299" t="s">
        <v>423</v>
      </c>
      <c r="N4" s="299" t="s">
        <v>423</v>
      </c>
      <c r="O4" s="299" t="s">
        <v>423</v>
      </c>
      <c r="P4" s="299" t="s">
        <v>422</v>
      </c>
      <c r="Q4" s="299"/>
      <c r="R4" s="299"/>
      <c r="S4" s="299"/>
      <c r="T4" s="287" t="s">
        <v>424</v>
      </c>
    </row>
    <row r="5" spans="2:20">
      <c r="B5" s="288" t="s">
        <v>347</v>
      </c>
      <c r="D5" s="313">
        <v>513</v>
      </c>
      <c r="E5" s="193">
        <f>114573353/100000</f>
        <v>1145.73353</v>
      </c>
      <c r="F5" s="316">
        <f>E5*D5</f>
        <v>587761.30088999995</v>
      </c>
      <c r="G5" s="226">
        <f>76.99*100</f>
        <v>7698.9999999999991</v>
      </c>
      <c r="H5" s="226">
        <f>618.62 +36.93+236+3.62+57.18 *100</f>
        <v>6613.17</v>
      </c>
      <c r="I5">
        <f>0.91*100</f>
        <v>91</v>
      </c>
      <c r="J5" s="226">
        <v>0</v>
      </c>
      <c r="K5" s="290">
        <f t="shared" ref="K5:K10" si="0">F5+H5+I5+J5-G5</f>
        <v>586766.47089</v>
      </c>
      <c r="L5" s="226">
        <f>3564.38*100</f>
        <v>356438</v>
      </c>
      <c r="M5" s="226">
        <f xml:space="preserve"> (147.93+79.73+80.04)*100</f>
        <v>30770.000000000004</v>
      </c>
      <c r="N5" s="226">
        <f>(147.93+80.04)*100</f>
        <v>22797.000000000004</v>
      </c>
      <c r="O5" s="226">
        <f>109.64*100</f>
        <v>10964</v>
      </c>
      <c r="P5" s="226">
        <f t="shared" ref="P5:P10" si="1">O5/E5</f>
        <v>9.5694153246959619</v>
      </c>
      <c r="Q5" s="306">
        <f t="shared" ref="Q5:Q10" si="2">K5/L5</f>
        <v>1.6461950490407868</v>
      </c>
      <c r="R5" s="306">
        <f t="shared" ref="R5:R10" si="3">K5/M5</f>
        <v>19.069433568085795</v>
      </c>
      <c r="S5" s="306">
        <f t="shared" ref="S5:S10" si="4">K5/N5</f>
        <v>25.738758208974861</v>
      </c>
      <c r="T5" s="291">
        <f t="shared" ref="T5:T10" si="5">D5/P5</f>
        <v>53.608290850966796</v>
      </c>
    </row>
    <row r="6" spans="2:20">
      <c r="B6" s="307" t="s">
        <v>183</v>
      </c>
      <c r="C6" s="55"/>
      <c r="D6" s="314">
        <v>1065</v>
      </c>
      <c r="E6" s="289">
        <f>133527920/100000</f>
        <v>1335.2791999999999</v>
      </c>
      <c r="F6" s="316">
        <f>E6*D6</f>
        <v>1422072.348</v>
      </c>
      <c r="G6" s="226">
        <v>9694.26</v>
      </c>
      <c r="H6" s="312">
        <f>55630.48+168.21+125630.36+48.9+9648.72</f>
        <v>191126.66999999998</v>
      </c>
      <c r="I6" s="312">
        <v>0</v>
      </c>
      <c r="J6" s="312">
        <v>0</v>
      </c>
      <c r="K6" s="290">
        <f t="shared" si="0"/>
        <v>1603504.7579999999</v>
      </c>
      <c r="L6" s="226">
        <v>171799.71</v>
      </c>
      <c r="M6" s="290">
        <f>9229.97+4869.76+6881.42</f>
        <v>20981.15</v>
      </c>
      <c r="N6" s="312">
        <f>9229.97+6881.42</f>
        <v>16111.39</v>
      </c>
      <c r="O6" s="312">
        <v>9181.14</v>
      </c>
      <c r="P6" s="226">
        <f t="shared" si="1"/>
        <v>6.8758204276678612</v>
      </c>
      <c r="Q6" s="306">
        <f t="shared" si="2"/>
        <v>9.3335708075409443</v>
      </c>
      <c r="R6" s="306">
        <f t="shared" si="3"/>
        <v>76.425970835726346</v>
      </c>
      <c r="S6" s="306">
        <f t="shared" si="4"/>
        <v>99.526158698908034</v>
      </c>
      <c r="T6" s="291">
        <f t="shared" si="5"/>
        <v>154.89060704879788</v>
      </c>
    </row>
    <row r="7" spans="2:20">
      <c r="B7" s="307" t="s">
        <v>184</v>
      </c>
      <c r="C7" s="55"/>
      <c r="D7" s="315">
        <v>178</v>
      </c>
      <c r="E7" s="193">
        <f>61347419/100000</f>
        <v>613.47419000000002</v>
      </c>
      <c r="F7" s="316">
        <f t="shared" ref="F7:F10" si="6">E7*D7</f>
        <v>109198.40582</v>
      </c>
      <c r="G7" s="312">
        <v>8615.9</v>
      </c>
      <c r="H7">
        <f>608.7+487.58+704.52+39.7+641.69</f>
        <v>2482.19</v>
      </c>
      <c r="I7" s="312">
        <v>0</v>
      </c>
      <c r="J7" s="312">
        <v>0</v>
      </c>
      <c r="K7" s="290">
        <f t="shared" si="0"/>
        <v>103064.69582000001</v>
      </c>
      <c r="L7" s="226">
        <v>187387.8</v>
      </c>
      <c r="M7" s="290">
        <f>19168.2+7587.2+1287.7</f>
        <v>28043.100000000002</v>
      </c>
      <c r="N7" s="312">
        <f>19168.2+1287.7</f>
        <v>20455.900000000001</v>
      </c>
      <c r="O7" s="226">
        <v>14309.4</v>
      </c>
      <c r="P7" s="226">
        <f t="shared" si="1"/>
        <v>23.325186671667474</v>
      </c>
      <c r="Q7" s="306">
        <f t="shared" si="2"/>
        <v>0.55000750219598082</v>
      </c>
      <c r="R7" s="306">
        <f t="shared" si="3"/>
        <v>3.675224772582204</v>
      </c>
      <c r="S7" s="306">
        <f t="shared" si="4"/>
        <v>5.03838480927263</v>
      </c>
      <c r="T7" s="291">
        <f t="shared" si="5"/>
        <v>7.6312358184130717</v>
      </c>
    </row>
    <row r="8" spans="2:20">
      <c r="B8" s="307" t="s">
        <v>185</v>
      </c>
      <c r="C8" s="55"/>
      <c r="D8" s="315">
        <v>1307</v>
      </c>
      <c r="E8" s="317">
        <v>13624.56</v>
      </c>
      <c r="F8" s="316">
        <f t="shared" si="6"/>
        <v>17807299.919999998</v>
      </c>
      <c r="G8" s="226">
        <v>2063.48</v>
      </c>
      <c r="H8" s="290">
        <f>39.22 +519</f>
        <v>558.22</v>
      </c>
      <c r="I8" s="312">
        <v>0</v>
      </c>
      <c r="J8" s="312">
        <v>0</v>
      </c>
      <c r="K8" s="290">
        <f t="shared" si="0"/>
        <v>17805794.659999996</v>
      </c>
      <c r="L8" s="226">
        <v>443266.22</v>
      </c>
      <c r="M8" s="193">
        <f>65873.76+2621.44+48.39</f>
        <v>68543.59</v>
      </c>
      <c r="N8" s="193">
        <f>65873.76+48.39</f>
        <v>65922.149999999994</v>
      </c>
      <c r="O8" s="226">
        <v>49229.98</v>
      </c>
      <c r="P8" s="226">
        <f t="shared" si="1"/>
        <v>3.6133262285167378</v>
      </c>
      <c r="Q8" s="306">
        <f t="shared" si="2"/>
        <v>40.169527603524578</v>
      </c>
      <c r="R8" s="306">
        <f t="shared" si="3"/>
        <v>259.77330134006689</v>
      </c>
      <c r="S8" s="306">
        <f t="shared" si="4"/>
        <v>270.10336677429359</v>
      </c>
      <c r="T8" s="291">
        <f t="shared" si="5"/>
        <v>361.71657839389735</v>
      </c>
    </row>
    <row r="9" spans="2:20">
      <c r="B9" s="307" t="s">
        <v>186</v>
      </c>
      <c r="C9" s="55"/>
      <c r="D9" s="315">
        <v>7569</v>
      </c>
      <c r="E9">
        <v>25.66</v>
      </c>
      <c r="F9" s="316">
        <f t="shared" si="6"/>
        <v>194220.54</v>
      </c>
      <c r="G9" s="226">
        <v>1534.8</v>
      </c>
      <c r="H9" s="312">
        <f>1957.8+3844.1+711.9+733.4+582.6</f>
        <v>7829.7999999999993</v>
      </c>
      <c r="I9" s="226">
        <v>0.6</v>
      </c>
      <c r="J9" s="312">
        <v>0</v>
      </c>
      <c r="K9" s="290">
        <f t="shared" si="0"/>
        <v>200516.14</v>
      </c>
      <c r="L9" s="290">
        <v>55440.5</v>
      </c>
      <c r="M9" s="312">
        <f>2560.8+2979+618.2</f>
        <v>6158</v>
      </c>
      <c r="N9" s="312">
        <f>2560.8+618.2</f>
        <v>3179</v>
      </c>
      <c r="O9" s="226">
        <v>2525.1999999999998</v>
      </c>
      <c r="P9" s="226">
        <f t="shared" si="1"/>
        <v>98.409976617303187</v>
      </c>
      <c r="Q9" s="306">
        <f t="shared" si="2"/>
        <v>3.6167808731883735</v>
      </c>
      <c r="R9" s="306">
        <f t="shared" si="3"/>
        <v>32.561893471906465</v>
      </c>
      <c r="S9" s="306">
        <f t="shared" si="4"/>
        <v>63.075224913494814</v>
      </c>
      <c r="T9" s="291">
        <f t="shared" si="5"/>
        <v>76.912933629019491</v>
      </c>
    </row>
    <row r="10" spans="2:20">
      <c r="B10" s="307" t="s">
        <v>187</v>
      </c>
      <c r="C10" s="55"/>
      <c r="D10" s="315">
        <v>490</v>
      </c>
      <c r="E10" s="193">
        <v>636.39</v>
      </c>
      <c r="F10" s="316">
        <f t="shared" si="6"/>
        <v>311831.09999999998</v>
      </c>
      <c r="G10">
        <v>667</v>
      </c>
      <c r="H10" s="312">
        <f>140+180+18500+190+3550</f>
        <v>22560</v>
      </c>
      <c r="I10" s="312">
        <v>0</v>
      </c>
      <c r="J10" s="312">
        <v>0</v>
      </c>
      <c r="K10" s="290">
        <f t="shared" si="0"/>
        <v>333724.09999999998</v>
      </c>
      <c r="L10" s="289">
        <v>270890</v>
      </c>
      <c r="M10" s="312">
        <f>35880+2840+1200</f>
        <v>39920</v>
      </c>
      <c r="N10" s="312">
        <f>35880+1200</f>
        <v>37080</v>
      </c>
      <c r="O10" s="289">
        <v>34690</v>
      </c>
      <c r="P10" s="226">
        <f t="shared" si="1"/>
        <v>54.51059884661921</v>
      </c>
      <c r="Q10" s="306">
        <f t="shared" si="2"/>
        <v>1.2319542987928678</v>
      </c>
      <c r="R10" s="306">
        <f t="shared" si="3"/>
        <v>8.359822144288577</v>
      </c>
      <c r="S10" s="306">
        <f t="shared" si="4"/>
        <v>9.0001105717367853</v>
      </c>
      <c r="T10" s="291">
        <f t="shared" si="5"/>
        <v>8.9890775439607964</v>
      </c>
    </row>
    <row r="11" spans="2:20">
      <c r="B11" s="307"/>
      <c r="C11" s="55"/>
      <c r="D11" s="290"/>
      <c r="E11" s="289"/>
      <c r="F11" s="292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3"/>
    </row>
    <row r="12" spans="2:20" ht="15.6">
      <c r="B12" s="294" t="s">
        <v>425</v>
      </c>
      <c r="C12" s="300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P12" s="308"/>
      <c r="Q12" s="309">
        <f>MAX(Q6:Q10)</f>
        <v>40.169527603524578</v>
      </c>
      <c r="R12" s="309">
        <f t="shared" ref="R12:T12" si="7">MAX(R6:R10)</f>
        <v>259.77330134006689</v>
      </c>
      <c r="S12" s="309">
        <f t="shared" si="7"/>
        <v>270.10336677429359</v>
      </c>
      <c r="T12" s="310">
        <f t="shared" si="7"/>
        <v>361.71657839389735</v>
      </c>
    </row>
    <row r="13" spans="2:20" ht="15.6">
      <c r="B13" s="294" t="s">
        <v>426</v>
      </c>
      <c r="C13" s="300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P13" s="308"/>
      <c r="Q13" s="309">
        <f>MEDIAN(Q6:Q10)</f>
        <v>3.6167808731883735</v>
      </c>
      <c r="R13" s="309">
        <f t="shared" ref="R13:T13" si="8">MEDIAN(R6:R10)</f>
        <v>32.561893471906465</v>
      </c>
      <c r="S13" s="309">
        <f t="shared" si="8"/>
        <v>63.075224913494814</v>
      </c>
      <c r="T13" s="310">
        <f t="shared" si="8"/>
        <v>76.912933629019491</v>
      </c>
    </row>
    <row r="14" spans="2:20" ht="15.6">
      <c r="B14" s="294" t="s">
        <v>427</v>
      </c>
      <c r="C14" s="300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P14" s="308"/>
      <c r="Q14" s="309">
        <f>AVERAGE(Q6:Q10)</f>
        <v>10.98036821704855</v>
      </c>
      <c r="R14" s="309">
        <f t="shared" ref="R14:T14" si="9">AVERAGE(R6:R10)</f>
        <v>76.159242512914091</v>
      </c>
      <c r="S14" s="309">
        <f t="shared" si="9"/>
        <v>89.348649153541174</v>
      </c>
      <c r="T14" s="310">
        <f t="shared" si="9"/>
        <v>122.02808648681771</v>
      </c>
    </row>
    <row r="15" spans="2:20" ht="15.6">
      <c r="B15" s="294" t="s">
        <v>428</v>
      </c>
      <c r="C15" s="300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P15" s="308"/>
      <c r="Q15" s="309">
        <f>_xlfn.QUARTILE.EXC(Q6:Q10,3)</f>
        <v>24.751549205532761</v>
      </c>
      <c r="R15" s="309">
        <f t="shared" ref="R15:T15" si="10">_xlfn.QUARTILE.EXC(R6:R10,3)</f>
        <v>168.09963608789661</v>
      </c>
      <c r="S15" s="309">
        <f t="shared" si="10"/>
        <v>184.81476273660081</v>
      </c>
      <c r="T15" s="310">
        <f t="shared" si="10"/>
        <v>258.30359272134763</v>
      </c>
    </row>
    <row r="16" spans="2:20" ht="15.6">
      <c r="B16" s="294" t="s">
        <v>429</v>
      </c>
      <c r="C16" s="300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P16" s="308"/>
      <c r="Q16" s="309">
        <f>_xlfn.QUARTILE.EXC(Q6:Q10,1)</f>
        <v>0.89098090049442424</v>
      </c>
      <c r="R16" s="309">
        <f t="shared" ref="R16:T16" si="11">_xlfn.QUARTILE.EXC(R6:R10,1)</f>
        <v>6.0175234584353898</v>
      </c>
      <c r="S16" s="309">
        <f t="shared" si="11"/>
        <v>7.0192476905047076</v>
      </c>
      <c r="T16" s="310">
        <f t="shared" si="11"/>
        <v>8.3101566811869336</v>
      </c>
    </row>
    <row r="17" spans="2:20" ht="16.2" thickBot="1">
      <c r="B17" s="295" t="s">
        <v>430</v>
      </c>
      <c r="C17" s="301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7">
        <f>MIN(Q6:Q10)</f>
        <v>0.55000750219598082</v>
      </c>
      <c r="R17" s="297">
        <f t="shared" ref="R17:T17" si="12">MIN(R6:R10)</f>
        <v>3.675224772582204</v>
      </c>
      <c r="S17" s="297">
        <f t="shared" si="12"/>
        <v>5.03838480927263</v>
      </c>
      <c r="T17" s="311">
        <f t="shared" si="12"/>
        <v>7.6312358184130717</v>
      </c>
    </row>
    <row r="20" spans="2:20" ht="15" thickBot="1">
      <c r="E20" s="86" t="s">
        <v>438</v>
      </c>
      <c r="J20" s="86" t="s">
        <v>439</v>
      </c>
    </row>
    <row r="21" spans="2:20" ht="15" thickBot="1">
      <c r="B21" s="318" t="s">
        <v>432</v>
      </c>
      <c r="D21" s="325" t="s">
        <v>418</v>
      </c>
      <c r="E21" s="326" t="s">
        <v>377</v>
      </c>
      <c r="F21" s="326" t="s">
        <v>419</v>
      </c>
      <c r="G21" s="327" t="s">
        <v>420</v>
      </c>
      <c r="I21" s="325" t="s">
        <v>418</v>
      </c>
      <c r="J21" s="326" t="s">
        <v>377</v>
      </c>
      <c r="K21" s="326" t="s">
        <v>419</v>
      </c>
      <c r="L21" s="327" t="s">
        <v>420</v>
      </c>
    </row>
    <row r="22" spans="2:20" ht="15.6">
      <c r="B22" s="300" t="s">
        <v>433</v>
      </c>
      <c r="D22" s="319">
        <f>Q14*L5</f>
        <v>3913820.4865483511</v>
      </c>
      <c r="E22" s="320">
        <f>R14*M5</f>
        <v>2343419.8921223669</v>
      </c>
      <c r="F22" s="320">
        <f>S14*N5</f>
        <v>2036881.1547532785</v>
      </c>
      <c r="G22" s="322">
        <f ca="1">G24+G23</f>
        <v>3913820.4865483511</v>
      </c>
      <c r="I22" s="328">
        <f>Q13*L5</f>
        <v>1289158.1408775174</v>
      </c>
      <c r="J22" s="329">
        <f>R13*M5</f>
        <v>1001929.4621305621</v>
      </c>
      <c r="K22" s="329">
        <f>S13*N5</f>
        <v>1437925.9023529415</v>
      </c>
      <c r="L22" s="330">
        <f>L24+L23</f>
        <v>842187.57430856978</v>
      </c>
    </row>
    <row r="23" spans="2:20" ht="15.6">
      <c r="B23" s="300" t="s">
        <v>434</v>
      </c>
      <c r="D23" s="321">
        <f>$H$5-G5</f>
        <v>-1085.829999999999</v>
      </c>
      <c r="E23" s="321">
        <f>$H$5-G5</f>
        <v>-1085.829999999999</v>
      </c>
      <c r="F23" s="322">
        <f>$H$5-G5</f>
        <v>-1085.829999999999</v>
      </c>
      <c r="G23" s="322">
        <f>$H$5-G5</f>
        <v>-1085.829999999999</v>
      </c>
      <c r="I23" s="331">
        <f>D23</f>
        <v>-1085.829999999999</v>
      </c>
      <c r="J23" s="332">
        <f>E23</f>
        <v>-1085.829999999999</v>
      </c>
      <c r="K23" s="332">
        <f>F23</f>
        <v>-1085.829999999999</v>
      </c>
      <c r="L23" s="333">
        <f>G23</f>
        <v>-1085.829999999999</v>
      </c>
    </row>
    <row r="24" spans="2:20" ht="15.6">
      <c r="B24" s="300" t="s">
        <v>435</v>
      </c>
      <c r="D24" s="321">
        <f>D22-D23</f>
        <v>3914906.3165483512</v>
      </c>
      <c r="E24" s="321">
        <f t="shared" ref="E24:G24" si="13">E22-E23</f>
        <v>2344505.722122367</v>
      </c>
      <c r="F24" s="322">
        <f t="shared" si="13"/>
        <v>2037966.9847532785</v>
      </c>
      <c r="G24" s="322">
        <f t="shared" ca="1" si="13"/>
        <v>3914906.3165483512</v>
      </c>
      <c r="I24" s="331">
        <f>I22-I23</f>
        <v>1290243.9708775175</v>
      </c>
      <c r="J24" s="331">
        <f t="shared" ref="J24:K24" si="14">J22-J23</f>
        <v>1003015.292130562</v>
      </c>
      <c r="K24" s="331">
        <f t="shared" si="14"/>
        <v>1439011.7323529415</v>
      </c>
      <c r="L24" s="332">
        <f>T13*O5</f>
        <v>843273.40430856973</v>
      </c>
    </row>
    <row r="25" spans="2:20" ht="15.6">
      <c r="B25" s="300" t="s">
        <v>436</v>
      </c>
      <c r="D25" s="321">
        <f>E5</f>
        <v>1145.73353</v>
      </c>
      <c r="E25" s="321">
        <f>F5</f>
        <v>587761.30088999995</v>
      </c>
      <c r="F25" s="322">
        <f>G5</f>
        <v>7698.9999999999991</v>
      </c>
      <c r="G25" s="322">
        <f>H5</f>
        <v>6613.17</v>
      </c>
      <c r="I25" s="331">
        <f>E5</f>
        <v>1145.73353</v>
      </c>
      <c r="J25" s="332">
        <f>I25</f>
        <v>1145.73353</v>
      </c>
      <c r="K25" s="331">
        <f>E5</f>
        <v>1145.73353</v>
      </c>
      <c r="L25" s="332">
        <f>E5</f>
        <v>1145.73353</v>
      </c>
    </row>
    <row r="26" spans="2:20" ht="16.2" thickBot="1">
      <c r="B26" s="300" t="s">
        <v>437</v>
      </c>
      <c r="D26" s="323">
        <f>D24/D25</f>
        <v>3416.9431320983958</v>
      </c>
      <c r="E26" s="323">
        <f t="shared" ref="E26:G26" si="15">E24/E25</f>
        <v>3.9888739162858622</v>
      </c>
      <c r="F26" s="324">
        <f t="shared" si="15"/>
        <v>264.70541430747875</v>
      </c>
      <c r="G26" s="324">
        <f t="shared" ca="1" si="15"/>
        <v>591.98634188269034</v>
      </c>
      <c r="I26" s="334">
        <f>I24/I25</f>
        <v>1126.1291889376037</v>
      </c>
      <c r="J26" s="334">
        <f t="shared" ref="J26:L26" si="16">J24/J25</f>
        <v>875.43505175288192</v>
      </c>
      <c r="K26" s="334">
        <f t="shared" si="16"/>
        <v>1255.9741813202775</v>
      </c>
      <c r="L26" s="335">
        <f t="shared" si="16"/>
        <v>736.01180573686247</v>
      </c>
    </row>
    <row r="29" spans="2:20" ht="15" thickBot="1">
      <c r="E29" s="86" t="s">
        <v>439</v>
      </c>
    </row>
    <row r="30" spans="2:20" ht="15" thickBot="1">
      <c r="B30" s="318" t="s">
        <v>432</v>
      </c>
      <c r="D30" s="325" t="s">
        <v>418</v>
      </c>
      <c r="E30" s="326" t="s">
        <v>377</v>
      </c>
      <c r="F30" s="326" t="s">
        <v>419</v>
      </c>
      <c r="G30" s="336" t="s">
        <v>420</v>
      </c>
    </row>
    <row r="31" spans="2:20" ht="15.6">
      <c r="B31" s="300" t="s">
        <v>433</v>
      </c>
      <c r="D31" s="328">
        <f t="shared" ref="D31:G34" si="17">I22</f>
        <v>1289158.1408775174</v>
      </c>
      <c r="E31" s="328">
        <f t="shared" si="17"/>
        <v>1001929.4621305621</v>
      </c>
      <c r="F31" s="328">
        <f t="shared" si="17"/>
        <v>1437925.9023529415</v>
      </c>
      <c r="G31" s="337">
        <f t="shared" si="17"/>
        <v>842187.57430856978</v>
      </c>
    </row>
    <row r="32" spans="2:20" ht="15.6">
      <c r="B32" s="300" t="s">
        <v>434</v>
      </c>
      <c r="D32" s="331">
        <f t="shared" si="17"/>
        <v>-1085.829999999999</v>
      </c>
      <c r="E32" s="331">
        <f t="shared" si="17"/>
        <v>-1085.829999999999</v>
      </c>
      <c r="F32" s="331">
        <f t="shared" si="17"/>
        <v>-1085.829999999999</v>
      </c>
      <c r="G32" s="332">
        <f t="shared" si="17"/>
        <v>-1085.829999999999</v>
      </c>
    </row>
    <row r="33" spans="2:7" ht="15.6">
      <c r="B33" s="300" t="s">
        <v>435</v>
      </c>
      <c r="D33" s="331">
        <f t="shared" si="17"/>
        <v>1290243.9708775175</v>
      </c>
      <c r="E33" s="331">
        <f t="shared" si="17"/>
        <v>1003015.292130562</v>
      </c>
      <c r="F33" s="331">
        <f t="shared" si="17"/>
        <v>1439011.7323529415</v>
      </c>
      <c r="G33" s="332">
        <f t="shared" si="17"/>
        <v>843273.40430856973</v>
      </c>
    </row>
    <row r="34" spans="2:7" ht="15.6">
      <c r="B34" s="300" t="s">
        <v>436</v>
      </c>
      <c r="D34" s="331">
        <f t="shared" si="17"/>
        <v>1145.73353</v>
      </c>
      <c r="E34" s="331">
        <f t="shared" si="17"/>
        <v>1145.73353</v>
      </c>
      <c r="F34" s="331">
        <f t="shared" si="17"/>
        <v>1145.73353</v>
      </c>
      <c r="G34" s="332">
        <f t="shared" si="17"/>
        <v>1145.73353</v>
      </c>
    </row>
    <row r="35" spans="2:7" ht="16.2" thickBot="1">
      <c r="B35" s="300" t="s">
        <v>437</v>
      </c>
      <c r="D35" s="334">
        <f>I26</f>
        <v>1126.1291889376037</v>
      </c>
      <c r="E35" s="334">
        <f t="shared" ref="E35:G35" si="18">J26</f>
        <v>875.43505175288192</v>
      </c>
      <c r="F35" s="334">
        <f t="shared" si="18"/>
        <v>1255.9741813202775</v>
      </c>
      <c r="G35" s="335">
        <f t="shared" si="18"/>
        <v>736.01180573686247</v>
      </c>
    </row>
    <row r="38" spans="2:7" ht="15.6">
      <c r="B38" s="338" t="s">
        <v>449</v>
      </c>
      <c r="C38" s="269"/>
      <c r="D38" s="280">
        <f>D35*(1-10%)</f>
        <v>1013.5162700438433</v>
      </c>
    </row>
    <row r="39" spans="2:7">
      <c r="B39" s="269"/>
      <c r="C39" s="269"/>
      <c r="D39" s="280">
        <f>D35*(1+10%)</f>
        <v>1238.7421078313641</v>
      </c>
    </row>
    <row r="41" spans="2:7">
      <c r="B41" s="339" t="s">
        <v>450</v>
      </c>
      <c r="C41" s="269"/>
      <c r="D41" s="280">
        <f>E35*(1-10%)</f>
        <v>787.89154657759377</v>
      </c>
    </row>
    <row r="42" spans="2:7">
      <c r="B42" s="269"/>
      <c r="C42" s="269"/>
      <c r="D42" s="280">
        <f>E35*(1+10%)</f>
        <v>962.97855692817018</v>
      </c>
    </row>
    <row r="44" spans="2:7">
      <c r="B44" s="339" t="s">
        <v>451</v>
      </c>
      <c r="C44" s="269"/>
      <c r="D44" s="280">
        <f>F35*(1-10%)</f>
        <v>1130.3767631882497</v>
      </c>
    </row>
    <row r="45" spans="2:7">
      <c r="B45" s="269"/>
      <c r="C45" s="269"/>
      <c r="D45" s="280">
        <f>F35*(1+10%)</f>
        <v>1381.5715994523052</v>
      </c>
    </row>
    <row r="47" spans="2:7">
      <c r="B47" s="339" t="s">
        <v>452</v>
      </c>
      <c r="C47" s="269"/>
      <c r="D47" s="280">
        <f>G35*(1-10%)</f>
        <v>662.41062516317629</v>
      </c>
    </row>
    <row r="48" spans="2:7">
      <c r="B48" s="269"/>
      <c r="C48" s="269"/>
      <c r="D48" s="280">
        <f>G35*(1+10%)</f>
        <v>809.61298631054876</v>
      </c>
    </row>
  </sheetData>
  <mergeCells count="3">
    <mergeCell ref="D2:I2"/>
    <mergeCell ref="L2:O2"/>
    <mergeCell ref="Q2:T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03E3-7AAF-4B96-B542-918F0A98A8A4}">
  <dimension ref="B1:I12"/>
  <sheetViews>
    <sheetView workbookViewId="0">
      <selection activeCell="H3" sqref="H3"/>
    </sheetView>
  </sheetViews>
  <sheetFormatPr defaultRowHeight="14.4"/>
  <cols>
    <col min="1" max="1" width="1.88671875" customWidth="1"/>
  </cols>
  <sheetData>
    <row r="1" spans="2:9">
      <c r="F1" s="358" t="s">
        <v>453</v>
      </c>
      <c r="G1" s="358"/>
      <c r="H1" s="358" t="s">
        <v>454</v>
      </c>
      <c r="I1" s="358"/>
    </row>
    <row r="2" spans="2:9">
      <c r="F2" s="269" t="s">
        <v>455</v>
      </c>
      <c r="G2" s="269" t="s">
        <v>443</v>
      </c>
      <c r="H2" s="269" t="s">
        <v>441</v>
      </c>
      <c r="I2" s="269" t="s">
        <v>443</v>
      </c>
    </row>
    <row r="3" spans="2:9">
      <c r="B3" s="140" t="s">
        <v>456</v>
      </c>
      <c r="C3" s="219" t="s">
        <v>446</v>
      </c>
      <c r="D3" s="219"/>
      <c r="E3" s="219"/>
      <c r="F3" s="353">
        <v>3.5000000000000003E-2</v>
      </c>
      <c r="G3" s="353">
        <v>4.4999999999999998E-2</v>
      </c>
      <c r="H3" s="352">
        <v>780.35556736035198</v>
      </c>
      <c r="I3" s="347">
        <v>1015.8557186625467</v>
      </c>
    </row>
    <row r="4" spans="2:9">
      <c r="B4" s="139"/>
      <c r="C4" s="239" t="s">
        <v>457</v>
      </c>
      <c r="D4" s="239"/>
      <c r="E4" s="239"/>
      <c r="F4" s="342">
        <v>21</v>
      </c>
      <c r="G4" s="342">
        <v>22</v>
      </c>
      <c r="H4" s="348">
        <v>1181.6727923171516</v>
      </c>
      <c r="I4" s="348">
        <v>1241.4172092701936</v>
      </c>
    </row>
    <row r="5" spans="2:9">
      <c r="B5" s="140" t="s">
        <v>447</v>
      </c>
      <c r="C5" s="219" t="s">
        <v>458</v>
      </c>
      <c r="D5" s="219"/>
      <c r="E5" s="219"/>
      <c r="F5" s="219"/>
      <c r="G5" s="219"/>
      <c r="H5" s="343"/>
      <c r="I5" s="343"/>
    </row>
    <row r="6" spans="2:9">
      <c r="B6" s="138"/>
      <c r="C6" t="s">
        <v>377</v>
      </c>
      <c r="H6" s="344">
        <v>787.89154657759377</v>
      </c>
      <c r="I6" s="344">
        <v>962.97855692817018</v>
      </c>
    </row>
    <row r="7" spans="2:9">
      <c r="B7" s="139"/>
      <c r="C7" s="239" t="s">
        <v>419</v>
      </c>
      <c r="D7" s="239"/>
      <c r="E7" s="239"/>
      <c r="F7" s="239"/>
      <c r="G7" s="239"/>
      <c r="H7" s="345">
        <v>1130.3767631882497</v>
      </c>
      <c r="I7" s="345">
        <v>1381.5715994523052</v>
      </c>
    </row>
    <row r="8" spans="2:9">
      <c r="B8" s="140" t="s">
        <v>447</v>
      </c>
      <c r="C8" s="219" t="s">
        <v>458</v>
      </c>
      <c r="D8" s="219"/>
      <c r="E8" s="219"/>
      <c r="F8" s="219"/>
      <c r="G8" s="219"/>
      <c r="H8" s="343"/>
      <c r="I8" s="343"/>
    </row>
    <row r="9" spans="2:9">
      <c r="B9" s="138"/>
      <c r="C9" t="s">
        <v>418</v>
      </c>
      <c r="H9" s="179">
        <v>1013.5162700438433</v>
      </c>
      <c r="I9" s="179">
        <v>1238.7421078313641</v>
      </c>
    </row>
    <row r="10" spans="2:9">
      <c r="B10" s="139"/>
      <c r="C10" s="239" t="s">
        <v>420</v>
      </c>
      <c r="D10" s="239"/>
      <c r="E10" s="239"/>
      <c r="F10" s="239"/>
      <c r="G10" s="239"/>
      <c r="H10" s="345">
        <v>662.41062516317629</v>
      </c>
      <c r="I10" s="345">
        <v>809.61298631054876</v>
      </c>
    </row>
    <row r="11" spans="2:9">
      <c r="B11" s="140" t="s">
        <v>459</v>
      </c>
      <c r="C11" s="219"/>
      <c r="D11" s="219"/>
      <c r="E11" s="219"/>
      <c r="F11" s="219"/>
      <c r="G11" s="219"/>
      <c r="H11" s="343"/>
      <c r="I11" s="343"/>
    </row>
    <row r="12" spans="2:9">
      <c r="B12" s="139" t="s">
        <v>460</v>
      </c>
      <c r="C12" s="239"/>
      <c r="D12" s="239"/>
      <c r="E12" s="239"/>
      <c r="F12" s="239"/>
      <c r="G12" s="239"/>
      <c r="H12" s="346">
        <v>442</v>
      </c>
      <c r="I12" s="346">
        <v>584.9</v>
      </c>
    </row>
  </sheetData>
  <mergeCells count="2">
    <mergeCell ref="F1:G1"/>
    <mergeCell ref="H1:I1"/>
  </mergeCells>
  <conditionalFormatting sqref="H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H4">
    <cfRule type="colorScale" priority="2">
      <colorScale>
        <cfvo type="min"/>
        <cfvo type="max"/>
        <color rgb="FFFCFCFF"/>
        <color rgb="FF63BE7B"/>
      </colorScale>
    </cfRule>
  </conditionalFormatting>
  <conditionalFormatting sqref="I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I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CCFA-F665-4F5B-9C08-8A2F313034A1}">
  <dimension ref="B2:H9"/>
  <sheetViews>
    <sheetView showGridLines="0" tabSelected="1" zoomScale="82" workbookViewId="0">
      <selection activeCell="K4" sqref="K4"/>
    </sheetView>
  </sheetViews>
  <sheetFormatPr defaultRowHeight="14.4"/>
  <cols>
    <col min="1" max="1" width="1.88671875" customWidth="1"/>
    <col min="2" max="2" width="15.44140625" bestFit="1" customWidth="1"/>
    <col min="4" max="4" width="9.5546875" customWidth="1"/>
  </cols>
  <sheetData>
    <row r="2" spans="2:8">
      <c r="B2" s="351" t="s">
        <v>440</v>
      </c>
      <c r="C2" s="351" t="s">
        <v>441</v>
      </c>
      <c r="D2" s="351" t="s">
        <v>442</v>
      </c>
      <c r="E2" s="351" t="s">
        <v>443</v>
      </c>
    </row>
    <row r="3" spans="2:8">
      <c r="B3" s="138" t="s">
        <v>446</v>
      </c>
      <c r="C3" s="193">
        <f>'(INPUT SHEET)'!H3</f>
        <v>780.35556736035198</v>
      </c>
      <c r="D3" s="193">
        <f>E3-C3</f>
        <v>235.50015130219469</v>
      </c>
      <c r="E3" s="341">
        <f>'(INPUT SHEET)'!I3</f>
        <v>1015.8557186625467</v>
      </c>
      <c r="G3" s="61"/>
      <c r="H3" s="61"/>
    </row>
    <row r="4" spans="2:8">
      <c r="B4" s="138" t="s">
        <v>447</v>
      </c>
      <c r="C4" s="193">
        <f>'(INPUT SHEET)'!H7</f>
        <v>1130.3767631882497</v>
      </c>
      <c r="D4" s="193">
        <f t="shared" ref="D4:D8" si="0">E4-C4</f>
        <v>251.19483626405554</v>
      </c>
      <c r="E4" s="341">
        <f>'(INPUT SHEET)'!I7</f>
        <v>1381.5715994523052</v>
      </c>
      <c r="G4" s="61"/>
      <c r="H4" s="61"/>
    </row>
    <row r="5" spans="2:8">
      <c r="B5" s="138" t="s">
        <v>418</v>
      </c>
      <c r="C5" s="193">
        <f>'(INPUT SHEET)'!H9</f>
        <v>1013.5162700438433</v>
      </c>
      <c r="D5" s="193">
        <f t="shared" si="0"/>
        <v>225.22583778752085</v>
      </c>
      <c r="E5" s="341">
        <f>'(INPUT SHEET)'!I9</f>
        <v>1238.7421078313641</v>
      </c>
    </row>
    <row r="6" spans="2:8">
      <c r="B6" s="138" t="s">
        <v>420</v>
      </c>
      <c r="C6" s="193">
        <f>'(INPUT SHEET)'!H10</f>
        <v>662.41062516317629</v>
      </c>
      <c r="D6" s="193">
        <f t="shared" si="0"/>
        <v>147.20236114737247</v>
      </c>
      <c r="E6" s="341">
        <f>'(INPUT SHEET)'!I10</f>
        <v>809.61298631054876</v>
      </c>
    </row>
    <row r="7" spans="2:8">
      <c r="B7" s="138" t="s">
        <v>448</v>
      </c>
      <c r="C7">
        <v>442</v>
      </c>
      <c r="D7" s="193">
        <f t="shared" si="0"/>
        <v>142.89999999999998</v>
      </c>
      <c r="E7" s="261">
        <v>584.9</v>
      </c>
    </row>
    <row r="8" spans="2:8">
      <c r="B8" s="138" t="s">
        <v>444</v>
      </c>
      <c r="C8" s="193">
        <v>519</v>
      </c>
      <c r="D8" s="193">
        <f t="shared" si="0"/>
        <v>0</v>
      </c>
      <c r="E8" s="341">
        <v>519</v>
      </c>
    </row>
    <row r="9" spans="2:8">
      <c r="B9" s="178" t="s">
        <v>445</v>
      </c>
      <c r="C9" s="349">
        <f>MIN(C3:C7)</f>
        <v>442</v>
      </c>
      <c r="D9" s="340"/>
      <c r="E9" s="350">
        <f>MAX(E3:E7)</f>
        <v>1381.5715994523052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ASSUMPTIONS</vt:lpstr>
      <vt:lpstr>INCOME STATEMENT</vt:lpstr>
      <vt:lpstr>BALANCE SHEET</vt:lpstr>
      <vt:lpstr>FA SCHEDULE</vt:lpstr>
      <vt:lpstr>CFS</vt:lpstr>
      <vt:lpstr>DEBT SCHEDULE</vt:lpstr>
      <vt:lpstr>WACC</vt:lpstr>
      <vt:lpstr>REGRESSION BETA</vt:lpstr>
      <vt:lpstr>BOTTOM UP BETA</vt:lpstr>
      <vt:lpstr>DCF VALUATION</vt:lpstr>
      <vt:lpstr>COMPANY COMPARABLE ANALYSIS</vt:lpstr>
      <vt:lpstr>(INPUT SHEET)</vt:lpstr>
      <vt:lpstr>FOOTBALL FIELD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cp:keywords/>
  <dc:description/>
  <cp:lastModifiedBy>Babu Rajandra</cp:lastModifiedBy>
  <cp:revision/>
  <dcterms:created xsi:type="dcterms:W3CDTF">2012-08-17T09:55:37Z</dcterms:created>
  <dcterms:modified xsi:type="dcterms:W3CDTF">2026-06-06T13:19:54Z</dcterms:modified>
  <cp:category/>
  <cp:contentStatus/>
</cp:coreProperties>
</file>